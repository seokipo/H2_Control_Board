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Work\H2_Control_Board\06_Docs\"/>
    </mc:Choice>
  </mc:AlternateContent>
  <xr:revisionPtr revIDLastSave="0" documentId="13_ncr:1_{9A1FC100-E503-4DC8-8497-1FBD9EE565A6}" xr6:coauthVersionLast="47" xr6:coauthVersionMax="47" xr10:uidLastSave="{00000000-0000-0000-0000-000000000000}"/>
  <bookViews>
    <workbookView xWindow="-32010" yWindow="2670" windowWidth="26940" windowHeight="17775" activeTab="1" xr2:uid="{00000000-000D-0000-FFFF-FFFF00000000}"/>
  </bookViews>
  <sheets>
    <sheet name="10k SYS IO_List_2026" sheetId="7" r:id="rId1"/>
    <sheet name="10k SYS IO_NetName" sheetId="8" r:id="rId2"/>
    <sheet name="프로그렘 초안" sheetId="6" r:id="rId3"/>
  </sheets>
  <definedNames>
    <definedName name="_xlnm._FilterDatabase" localSheetId="0" hidden="1">'10k SYS IO_List_2026'!$A$1:$N$112</definedName>
    <definedName name="_xlnm._FilterDatabase" localSheetId="1" hidden="1">'10k SYS IO_NetName'!$A$1:$P$112</definedName>
    <definedName name="_xlnm.Print_Area" localSheetId="0">'10k SYS IO_List_2026'!$A$1:$N$112</definedName>
    <definedName name="_xlnm.Print_Area" localSheetId="1">'10k SYS IO_NetName'!$A$1:$P$112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9" i="8" l="1"/>
  <c r="F108" i="8"/>
  <c r="F107" i="8"/>
  <c r="F106" i="8"/>
  <c r="F105" i="8"/>
  <c r="F104" i="8"/>
  <c r="F100" i="8"/>
  <c r="F99" i="8"/>
  <c r="F98" i="8"/>
  <c r="F97" i="8"/>
  <c r="F96" i="8"/>
  <c r="F95" i="8"/>
  <c r="F94" i="8"/>
  <c r="F93" i="8"/>
  <c r="F92" i="8"/>
  <c r="F91" i="8"/>
  <c r="F90" i="8"/>
  <c r="F89" i="8"/>
  <c r="F88" i="8"/>
  <c r="F87" i="8"/>
  <c r="F83" i="8"/>
  <c r="F82" i="8"/>
  <c r="F81" i="8"/>
  <c r="F80" i="8"/>
  <c r="F79" i="8"/>
  <c r="F75" i="8"/>
  <c r="F74" i="8"/>
  <c r="F73" i="8"/>
  <c r="F72" i="8"/>
  <c r="F71" i="8"/>
  <c r="F70" i="8"/>
  <c r="F69" i="8"/>
  <c r="F68" i="8"/>
  <c r="F67" i="8"/>
  <c r="F63" i="8"/>
  <c r="F62" i="8"/>
  <c r="F61" i="8"/>
  <c r="F60" i="8"/>
  <c r="F59" i="8"/>
  <c r="F58" i="8"/>
  <c r="F57" i="8"/>
  <c r="F56" i="8"/>
  <c r="F55" i="8"/>
  <c r="F54" i="8"/>
  <c r="F53" i="8"/>
  <c r="F52" i="8"/>
  <c r="F51" i="8"/>
  <c r="F50" i="8"/>
  <c r="F42" i="8"/>
  <c r="F41" i="8"/>
  <c r="F40" i="8"/>
  <c r="F39" i="8"/>
  <c r="F38" i="8"/>
  <c r="F37" i="8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19" i="8"/>
  <c r="F18" i="8"/>
  <c r="F17" i="8"/>
  <c r="F16" i="8"/>
  <c r="F15" i="8"/>
  <c r="F14" i="8"/>
  <c r="F13" i="8"/>
  <c r="F12" i="8"/>
  <c r="F11" i="8"/>
  <c r="F10" i="8"/>
  <c r="F9" i="8"/>
  <c r="F8" i="8"/>
  <c r="F4" i="8"/>
  <c r="F3" i="8"/>
  <c r="F2" i="8"/>
  <c r="F24" i="7" l="1"/>
  <c r="F4" i="7"/>
  <c r="F109" i="7" l="1"/>
  <c r="F108" i="7"/>
  <c r="F107" i="7"/>
  <c r="F106" i="7"/>
  <c r="F105" i="7"/>
  <c r="F104" i="7"/>
  <c r="F100" i="7"/>
  <c r="F99" i="7"/>
  <c r="F98" i="7"/>
  <c r="F97" i="7"/>
  <c r="F96" i="7"/>
  <c r="F95" i="7"/>
  <c r="F94" i="7"/>
  <c r="F93" i="7"/>
  <c r="F92" i="7"/>
  <c r="F91" i="7"/>
  <c r="F90" i="7"/>
  <c r="F89" i="7"/>
  <c r="F88" i="7"/>
  <c r="F87" i="7"/>
  <c r="F83" i="7" l="1"/>
  <c r="F82" i="7"/>
  <c r="F81" i="7"/>
  <c r="F80" i="7"/>
  <c r="F79" i="7"/>
  <c r="F73" i="7"/>
  <c r="F72" i="7"/>
  <c r="F71" i="7"/>
  <c r="F70" i="7"/>
  <c r="F69" i="7"/>
  <c r="F68" i="7"/>
  <c r="F67" i="7"/>
  <c r="F63" i="7"/>
  <c r="F62" i="7"/>
  <c r="F61" i="7"/>
  <c r="F60" i="7"/>
  <c r="F59" i="7"/>
  <c r="F58" i="7"/>
  <c r="F57" i="7"/>
  <c r="F56" i="7"/>
  <c r="F55" i="7"/>
  <c r="F54" i="7"/>
  <c r="F53" i="7"/>
  <c r="F52" i="7"/>
  <c r="F51" i="7"/>
  <c r="F50" i="7"/>
  <c r="F19" i="7" l="1"/>
  <c r="F18" i="7"/>
  <c r="F17" i="7"/>
  <c r="F16" i="7"/>
  <c r="F15" i="7"/>
  <c r="F14" i="7"/>
  <c r="F13" i="7"/>
  <c r="F12" i="7"/>
  <c r="F11" i="7"/>
  <c r="F10" i="7"/>
  <c r="F9" i="7"/>
  <c r="F8" i="7"/>
  <c r="F3" i="7"/>
  <c r="F2" i="7"/>
  <c r="F75" i="7" l="1"/>
  <c r="F74" i="7"/>
  <c r="F42" i="7"/>
  <c r="F41" i="7"/>
  <c r="F40" i="7"/>
  <c r="F39" i="7"/>
  <c r="F38" i="7"/>
  <c r="F37" i="7"/>
  <c r="F36" i="7"/>
  <c r="F35" i="7"/>
  <c r="F34" i="7"/>
  <c r="F33" i="7"/>
  <c r="F32" i="7"/>
  <c r="F31" i="7"/>
  <c r="F30" i="7"/>
  <c r="F29" i="7"/>
  <c r="F28" i="7"/>
  <c r="F27" i="7"/>
  <c r="F26" i="7"/>
  <c r="F25" i="7"/>
</calcChain>
</file>

<file path=xl/sharedStrings.xml><?xml version="1.0" encoding="utf-8"?>
<sst xmlns="http://schemas.openxmlformats.org/spreadsheetml/2006/main" count="1502" uniqueCount="336">
  <si>
    <t>Voltage</t>
    <phoneticPr fontId="1" type="noConversion"/>
  </si>
  <si>
    <t>DO</t>
    <phoneticPr fontId="1" type="noConversion"/>
  </si>
  <si>
    <t>DI</t>
    <phoneticPr fontId="1" type="noConversion"/>
  </si>
  <si>
    <t>V</t>
    <phoneticPr fontId="1" type="noConversion"/>
  </si>
  <si>
    <t>0 or 24</t>
    <phoneticPr fontId="1" type="noConversion"/>
  </si>
  <si>
    <t>AO</t>
    <phoneticPr fontId="1" type="noConversion"/>
  </si>
  <si>
    <t xml:space="preserve">0~5 </t>
    <phoneticPr fontId="1" type="noConversion"/>
  </si>
  <si>
    <t>TC-T type</t>
    <phoneticPr fontId="1" type="noConversion"/>
  </si>
  <si>
    <t>제어
단위</t>
    <phoneticPr fontId="1" type="noConversion"/>
  </si>
  <si>
    <t>제어값</t>
    <phoneticPr fontId="1" type="noConversion"/>
  </si>
  <si>
    <t>실제 
단위</t>
    <phoneticPr fontId="1" type="noConversion"/>
  </si>
  <si>
    <t>실제값</t>
    <phoneticPr fontId="1" type="noConversion"/>
  </si>
  <si>
    <t>Described</t>
    <phoneticPr fontId="1" type="noConversion"/>
  </si>
  <si>
    <t>IO type</t>
    <phoneticPr fontId="1" type="noConversion"/>
  </si>
  <si>
    <t>Naming</t>
    <phoneticPr fontId="1" type="noConversion"/>
  </si>
  <si>
    <t>0 or 24</t>
  </si>
  <si>
    <t>TC</t>
  </si>
  <si>
    <t>AB</t>
    <phoneticPr fontId="1" type="noConversion"/>
  </si>
  <si>
    <t>P</t>
    <phoneticPr fontId="1" type="noConversion"/>
  </si>
  <si>
    <t>CS</t>
    <phoneticPr fontId="1" type="noConversion"/>
  </si>
  <si>
    <t>PT</t>
    <phoneticPr fontId="1" type="noConversion"/>
  </si>
  <si>
    <t>MFC</t>
    <phoneticPr fontId="1" type="noConversion"/>
  </si>
  <si>
    <t>IO Number</t>
    <phoneticPr fontId="1" type="noConversion"/>
  </si>
  <si>
    <t>IO Name</t>
    <phoneticPr fontId="1" type="noConversion"/>
  </si>
  <si>
    <t>Proto device
IO Masking</t>
    <phoneticPr fontId="1" type="noConversion"/>
  </si>
  <si>
    <t>TC</t>
    <phoneticPr fontId="1" type="noConversion"/>
  </si>
  <si>
    <t>IO Category</t>
    <phoneticPr fontId="1" type="noConversion"/>
  </si>
  <si>
    <t>AI</t>
    <phoneticPr fontId="1" type="noConversion"/>
  </si>
  <si>
    <t>Num</t>
    <phoneticPr fontId="1" type="noConversion"/>
  </si>
  <si>
    <t>INV</t>
    <phoneticPr fontId="1" type="noConversion"/>
  </si>
  <si>
    <t>Serial</t>
    <phoneticPr fontId="1" type="noConversion"/>
  </si>
  <si>
    <t>RS</t>
    <phoneticPr fontId="1" type="noConversion"/>
  </si>
  <si>
    <t>TJ-</t>
    <phoneticPr fontId="1" type="noConversion"/>
  </si>
  <si>
    <t>비고</t>
    <phoneticPr fontId="1" type="noConversion"/>
  </si>
  <si>
    <t>FM</t>
    <phoneticPr fontId="1" type="noConversion"/>
  </si>
  <si>
    <t>FAN</t>
    <phoneticPr fontId="1" type="noConversion"/>
  </si>
  <si>
    <t>시티가스 공급온도 확인</t>
    <phoneticPr fontId="1" type="noConversion"/>
  </si>
  <si>
    <t>개질기 버너 역화 온도 측정</t>
    <phoneticPr fontId="1" type="noConversion"/>
  </si>
  <si>
    <t>kPa</t>
    <phoneticPr fontId="1" type="noConversion"/>
  </si>
  <si>
    <t>LPM</t>
    <phoneticPr fontId="1" type="noConversion"/>
  </si>
  <si>
    <t>sig</t>
    <phoneticPr fontId="1" type="noConversion"/>
  </si>
  <si>
    <t>FD</t>
    <phoneticPr fontId="1" type="noConversion"/>
  </si>
  <si>
    <t>GD</t>
    <phoneticPr fontId="1" type="noConversion"/>
  </si>
  <si>
    <t>버너 화염감지기</t>
    <phoneticPr fontId="1" type="noConversion"/>
  </si>
  <si>
    <t>인버터 데이터 통신</t>
    <phoneticPr fontId="1" type="noConversion"/>
  </si>
  <si>
    <t>TC-K type</t>
    <phoneticPr fontId="1" type="noConversion"/>
  </si>
  <si>
    <t>SV</t>
    <phoneticPr fontId="1" type="noConversion"/>
  </si>
  <si>
    <t>HT</t>
    <phoneticPr fontId="1" type="noConversion"/>
  </si>
  <si>
    <t>MC</t>
    <phoneticPr fontId="1" type="noConversion"/>
  </si>
  <si>
    <t xml:space="preserve"> SW</t>
    <phoneticPr fontId="1" type="noConversion"/>
  </si>
  <si>
    <t>MC 동작 스위치</t>
    <phoneticPr fontId="1" type="noConversion"/>
  </si>
  <si>
    <t>IGN</t>
    <phoneticPr fontId="1" type="noConversion"/>
  </si>
  <si>
    <t>점화 트랜스</t>
    <phoneticPr fontId="1" type="noConversion"/>
  </si>
  <si>
    <t>AOG 버너 입구 온도측정</t>
    <phoneticPr fontId="1" type="noConversion"/>
  </si>
  <si>
    <t>K</t>
    <phoneticPr fontId="1" type="noConversion"/>
  </si>
  <si>
    <t>T</t>
    <phoneticPr fontId="1" type="noConversion"/>
  </si>
  <si>
    <t>Ref-BN</t>
  </si>
  <si>
    <t>Ref-SR1</t>
  </si>
  <si>
    <t>Ref-SR2</t>
  </si>
  <si>
    <t>Ref-SR3</t>
  </si>
  <si>
    <t>Ref-RG</t>
  </si>
  <si>
    <t>Prox-01</t>
  </si>
  <si>
    <t>Prox-03</t>
  </si>
  <si>
    <t>배기가스 온도 측정</t>
  </si>
  <si>
    <t>Cathode 입구 온도</t>
  </si>
  <si>
    <t>개질기 버너 압력 확인용</t>
  </si>
  <si>
    <t>개질기 촉매부 압력 확인</t>
  </si>
  <si>
    <t>배기가스 압력 측정</t>
  </si>
  <si>
    <t>PrOx 공기 유량계</t>
  </si>
  <si>
    <t>개질기 버너 공기 유량계</t>
  </si>
  <si>
    <t>0~100</t>
    <phoneticPr fontId="1" type="noConversion"/>
  </si>
  <si>
    <t>us/s</t>
    <phoneticPr fontId="1" type="noConversion"/>
  </si>
  <si>
    <t>PrOx 에어블로우</t>
  </si>
  <si>
    <t>개질기 버너 에어블로어</t>
  </si>
  <si>
    <t>STACK 1 냉각수 공급</t>
  </si>
  <si>
    <t>STACK 2 냉각수 공급</t>
  </si>
  <si>
    <t>가스 가압펌프</t>
    <phoneticPr fontId="1" type="noConversion"/>
  </si>
  <si>
    <t>0~1000 kPa</t>
    <phoneticPr fontId="1" type="noConversion"/>
  </si>
  <si>
    <t>유틸리티 압력 확인용</t>
    <phoneticPr fontId="1" type="noConversion"/>
  </si>
  <si>
    <t>0~10</t>
    <phoneticPr fontId="1" type="noConversion"/>
  </si>
  <si>
    <t>가스 버퍼탱크 압력 확인용</t>
    <phoneticPr fontId="1" type="noConversion"/>
  </si>
  <si>
    <t>STACK  에어블로어</t>
    <phoneticPr fontId="1" type="noConversion"/>
  </si>
  <si>
    <t>개질수 펌프</t>
    <phoneticPr fontId="1" type="noConversion"/>
  </si>
  <si>
    <t>내구성 평가용 지그 신호 (별도 구성)</t>
    <phoneticPr fontId="1" type="noConversion"/>
  </si>
  <si>
    <t>Ref-LTS1</t>
    <phoneticPr fontId="1" type="noConversion"/>
  </si>
  <si>
    <t>Ref-LTS2</t>
    <phoneticPr fontId="1" type="noConversion"/>
  </si>
  <si>
    <t>Ref-EG</t>
    <phoneticPr fontId="1" type="noConversion"/>
  </si>
  <si>
    <t>P</t>
    <phoneticPr fontId="1" type="noConversion"/>
  </si>
  <si>
    <t>Prox-02</t>
    <phoneticPr fontId="1" type="noConversion"/>
  </si>
  <si>
    <t xml:space="preserve">1~5 </t>
    <phoneticPr fontId="1" type="noConversion"/>
  </si>
  <si>
    <t>PSS-01V-R1/8</t>
    <phoneticPr fontId="1" type="noConversion"/>
  </si>
  <si>
    <t>PSAN-L1CPV</t>
    <phoneticPr fontId="1" type="noConversion"/>
  </si>
  <si>
    <t>CM-230K</t>
    <phoneticPr fontId="1" type="noConversion"/>
  </si>
  <si>
    <t>PFMB7202-06-C</t>
    <phoneticPr fontId="1" type="noConversion"/>
  </si>
  <si>
    <t>PFM710-01-C</t>
    <phoneticPr fontId="1" type="noConversion"/>
  </si>
  <si>
    <t>0.5~200</t>
    <phoneticPr fontId="1" type="noConversion"/>
  </si>
  <si>
    <t>0~400</t>
    <phoneticPr fontId="1" type="noConversion"/>
  </si>
  <si>
    <t>STACK 1 냉각수 회수 온도</t>
    <phoneticPr fontId="1" type="noConversion"/>
  </si>
  <si>
    <t>STACK 2 냉각수 회수 온도</t>
    <phoneticPr fontId="1" type="noConversion"/>
  </si>
  <si>
    <t>여유분 6 POINT</t>
    <phoneticPr fontId="1" type="noConversion"/>
  </si>
  <si>
    <t>여유분 3 POINT</t>
    <phoneticPr fontId="1" type="noConversion"/>
  </si>
  <si>
    <t>STACK Anode 입구 압력 측정</t>
    <phoneticPr fontId="1" type="noConversion"/>
  </si>
  <si>
    <t>개질수 공급 압력 측정</t>
    <phoneticPr fontId="1" type="noConversion"/>
  </si>
  <si>
    <t>STACK 공기 유량계</t>
    <phoneticPr fontId="1" type="noConversion"/>
  </si>
  <si>
    <t>MFM</t>
    <phoneticPr fontId="1" type="noConversion"/>
  </si>
  <si>
    <t>0-40</t>
    <phoneticPr fontId="1" type="noConversion"/>
  </si>
  <si>
    <t>VVX 15</t>
    <phoneticPr fontId="1" type="noConversion"/>
  </si>
  <si>
    <t>feedback =&gt; PT109</t>
    <phoneticPr fontId="1" type="noConversion"/>
  </si>
  <si>
    <t>feedback =&gt; MFM231</t>
    <phoneticPr fontId="1" type="noConversion"/>
  </si>
  <si>
    <t>feedback =&gt; MFM222</t>
    <phoneticPr fontId="1" type="noConversion"/>
  </si>
  <si>
    <t>feedback =&gt; MFM211</t>
    <phoneticPr fontId="1" type="noConversion"/>
  </si>
  <si>
    <t>feedback =&gt; FM382</t>
    <phoneticPr fontId="1" type="noConversion"/>
  </si>
  <si>
    <t>Cathode 출구 온도</t>
    <phoneticPr fontId="1" type="noConversion"/>
  </si>
  <si>
    <t>HOT Water Tank 온도 측정</t>
    <phoneticPr fontId="1" type="noConversion"/>
  </si>
  <si>
    <t>DI Water TANK 온도 센서</t>
    <phoneticPr fontId="1" type="noConversion"/>
  </si>
  <si>
    <t>ANODE(RG) 냉각수 회수 온도 측정</t>
    <phoneticPr fontId="1" type="noConversion"/>
  </si>
  <si>
    <t>배열 회수 입구 온도</t>
    <phoneticPr fontId="1" type="noConversion"/>
  </si>
  <si>
    <t>배열 회수  출구 온도</t>
    <phoneticPr fontId="1" type="noConversion"/>
  </si>
  <si>
    <t>DI WATER TANK 냉각수 입구 온도 측정</t>
    <phoneticPr fontId="1" type="noConversion"/>
  </si>
  <si>
    <t>DI WATER TANK 냉각수 회수 온도 측정</t>
    <phoneticPr fontId="1" type="noConversion"/>
  </si>
  <si>
    <t>feedback =&gt; TC372</t>
    <phoneticPr fontId="1" type="noConversion"/>
  </si>
  <si>
    <t>feedback =&gt; TC377</t>
    <phoneticPr fontId="1" type="noConversion"/>
  </si>
  <si>
    <t>AOG 냉각용 물펌프</t>
    <phoneticPr fontId="1" type="noConversion"/>
  </si>
  <si>
    <t>Anode (RG) 냉각용 물펌프</t>
    <phoneticPr fontId="1" type="noConversion"/>
  </si>
  <si>
    <t>feedback =&gt; TC 147</t>
    <phoneticPr fontId="1" type="noConversion"/>
  </si>
  <si>
    <t>여유분 2 Point</t>
    <phoneticPr fontId="1" type="noConversion"/>
  </si>
  <si>
    <t>MV</t>
    <phoneticPr fontId="1" type="noConversion"/>
  </si>
  <si>
    <t>가스 인입 솔레노이드 밸브 1</t>
    <phoneticPr fontId="1" type="noConversion"/>
  </si>
  <si>
    <t>가스 인입 솔레노이드 밸브 2</t>
    <phoneticPr fontId="1" type="noConversion"/>
  </si>
  <si>
    <t>개질기 질소퍼지 솔레노이드 밸브</t>
    <phoneticPr fontId="1" type="noConversion"/>
  </si>
  <si>
    <t>ANODE 인입 솔레노이드 밸브</t>
    <phoneticPr fontId="1" type="noConversion"/>
  </si>
  <si>
    <t>스택 질소퍼지 솔레노이드 밸브</t>
    <phoneticPr fontId="1" type="noConversion"/>
  </si>
  <si>
    <t>DI Water TANK 드레인 솔레노이드 밸브</t>
    <phoneticPr fontId="1" type="noConversion"/>
  </si>
  <si>
    <t>PNG 인입 밸브</t>
    <phoneticPr fontId="1" type="noConversion"/>
  </si>
  <si>
    <t>개질 가스 인입 밸브</t>
    <phoneticPr fontId="1" type="noConversion"/>
  </si>
  <si>
    <t>개질가스 Bypass 전동 밸브</t>
    <phoneticPr fontId="1" type="noConversion"/>
  </si>
  <si>
    <t>Anode 출구 전동 밸브</t>
    <phoneticPr fontId="1" type="noConversion"/>
  </si>
  <si>
    <t>AOG 전동 밸브</t>
    <phoneticPr fontId="1" type="noConversion"/>
  </si>
  <si>
    <t>AOG VENT 전동 밸브</t>
    <phoneticPr fontId="1" type="noConversion"/>
  </si>
  <si>
    <t>시설수 입구 전동 볼밸브</t>
    <phoneticPr fontId="1" type="noConversion"/>
  </si>
  <si>
    <t>배열 회수 입구 전동 볼 밸브</t>
    <phoneticPr fontId="1" type="noConversion"/>
  </si>
  <si>
    <t>LTS 촉매 히터</t>
    <phoneticPr fontId="1" type="noConversion"/>
  </si>
  <si>
    <t>Prox 히터1</t>
    <phoneticPr fontId="1" type="noConversion"/>
  </si>
  <si>
    <t>Prox 히터2</t>
    <phoneticPr fontId="1" type="noConversion"/>
  </si>
  <si>
    <t>메탄 누출 감지</t>
    <phoneticPr fontId="1" type="noConversion"/>
  </si>
  <si>
    <t>LCD</t>
    <phoneticPr fontId="1" type="noConversion"/>
  </si>
  <si>
    <t>HMI용 LCD 통신</t>
    <phoneticPr fontId="1" type="noConversion"/>
  </si>
  <si>
    <t>DI 개질수 유량 데이터 통신</t>
    <phoneticPr fontId="1" type="noConversion"/>
  </si>
  <si>
    <t>유량계 : OF05ZAT-AR / 펄스미터 : MP5Y</t>
    <phoneticPr fontId="1" type="noConversion"/>
  </si>
  <si>
    <t>열전대 K-Type</t>
    <phoneticPr fontId="1" type="noConversion"/>
  </si>
  <si>
    <t>열전대 T-Type</t>
    <phoneticPr fontId="1" type="noConversion"/>
  </si>
  <si>
    <t>개질 가스 1차 온도 측정</t>
    <phoneticPr fontId="1" type="noConversion"/>
  </si>
  <si>
    <t>개질 가스 2차 온도 측정(ANODE 인입 가스)</t>
    <phoneticPr fontId="1" type="noConversion"/>
  </si>
  <si>
    <t>시스템 내부온도</t>
    <phoneticPr fontId="1" type="noConversion"/>
  </si>
  <si>
    <t>시스템 냉각수 회수 온도</t>
    <phoneticPr fontId="1" type="noConversion"/>
  </si>
  <si>
    <t>모델명</t>
    <phoneticPr fontId="1" type="noConversion"/>
  </si>
  <si>
    <t>DI TANK 전도도 측정</t>
    <phoneticPr fontId="1" type="noConversion"/>
  </si>
  <si>
    <t xml:space="preserve">4~20-&gt;1~5 </t>
    <phoneticPr fontId="1" type="noConversion"/>
  </si>
  <si>
    <t>AI/AO</t>
    <phoneticPr fontId="1" type="noConversion"/>
  </si>
  <si>
    <t>BNG 유량 측정/제어</t>
    <phoneticPr fontId="1" type="noConversion"/>
  </si>
  <si>
    <t>TSCD230-8SW-CH4 30L</t>
    <phoneticPr fontId="1" type="noConversion"/>
  </si>
  <si>
    <t>0~30</t>
    <phoneticPr fontId="1" type="noConversion"/>
  </si>
  <si>
    <t>PNG 유량 측정/제어</t>
    <phoneticPr fontId="1" type="noConversion"/>
  </si>
  <si>
    <t>시스템 냉각수 회수 유량 측정</t>
    <phoneticPr fontId="1" type="noConversion"/>
  </si>
  <si>
    <t>4~20-&gt;1~5</t>
    <phoneticPr fontId="1" type="noConversion"/>
  </si>
  <si>
    <t>BLP-8080</t>
    <phoneticPr fontId="1" type="noConversion"/>
  </si>
  <si>
    <t>NMP850.1.2KPDCB-4 HP</t>
    <phoneticPr fontId="1" type="noConversion"/>
  </si>
  <si>
    <t>feedback =&gt; TC343 또는 TC344(미정)</t>
    <phoneticPr fontId="1" type="noConversion"/>
  </si>
  <si>
    <t>INTG3-140</t>
    <phoneticPr fontId="1" type="noConversion"/>
  </si>
  <si>
    <t>0~5</t>
    <phoneticPr fontId="1" type="noConversion"/>
  </si>
  <si>
    <t>FDU-520</t>
    <phoneticPr fontId="1" type="noConversion"/>
  </si>
  <si>
    <t>수소 누출 감지</t>
    <phoneticPr fontId="1" type="noConversion"/>
  </si>
  <si>
    <t>D12BH-24</t>
    <phoneticPr fontId="1" type="noConversion"/>
  </si>
  <si>
    <t>가스 환기팬1</t>
    <phoneticPr fontId="1" type="noConversion"/>
  </si>
  <si>
    <t>VX230GA</t>
    <phoneticPr fontId="1" type="noConversion"/>
  </si>
  <si>
    <t>WV121S122QV-H-WS-C2</t>
    <phoneticPr fontId="1" type="noConversion"/>
  </si>
  <si>
    <t>AT24-3T</t>
  </si>
  <si>
    <t>0 or 220</t>
    <phoneticPr fontId="1" type="noConversion"/>
  </si>
  <si>
    <t>VAC</t>
    <phoneticPr fontId="1" type="noConversion"/>
  </si>
  <si>
    <t>TZI5-15/100WE</t>
  </si>
  <si>
    <t>HMI 및 GUI용 노트북 통신</t>
    <phoneticPr fontId="1" type="noConversion"/>
  </si>
  <si>
    <t>PM33098-838.1.2 (2대 병렬 운전)</t>
    <phoneticPr fontId="1" type="noConversion"/>
  </si>
  <si>
    <t>LW 300 A3(AC 리니어 펌프)</t>
    <phoneticPr fontId="1" type="noConversion"/>
  </si>
  <si>
    <t>T2800</t>
    <phoneticPr fontId="1" type="noConversion"/>
  </si>
  <si>
    <t>KNF (PML20017-FP1.25)</t>
    <phoneticPr fontId="1" type="noConversion"/>
  </si>
  <si>
    <t>TSCD230-8SW-CH4 50L</t>
    <phoneticPr fontId="1" type="noConversion"/>
  </si>
  <si>
    <t>0~50</t>
    <phoneticPr fontId="1" type="noConversion"/>
  </si>
  <si>
    <t>700W</t>
    <phoneticPr fontId="1" type="noConversion"/>
  </si>
  <si>
    <t>200W</t>
    <phoneticPr fontId="1" type="noConversion"/>
  </si>
  <si>
    <t>Spare, Spare TRIAC(위상제어용)</t>
    <phoneticPr fontId="1" type="noConversion"/>
  </si>
  <si>
    <t>0~800</t>
    <phoneticPr fontId="1" type="noConversion"/>
  </si>
  <si>
    <t>Ref-FEED</t>
    <phoneticPr fontId="1" type="noConversion"/>
  </si>
  <si>
    <t>테스트용(?)</t>
    <phoneticPr fontId="1" type="noConversion"/>
  </si>
  <si>
    <t>NETNAME</t>
    <phoneticPr fontId="1" type="noConversion"/>
  </si>
  <si>
    <t>IO NAME</t>
    <phoneticPr fontId="1" type="noConversion"/>
  </si>
  <si>
    <t>AI_1</t>
    <phoneticPr fontId="1" type="noConversion"/>
  </si>
  <si>
    <t>AI_3</t>
  </si>
  <si>
    <t>AI_4</t>
  </si>
  <si>
    <t>AI_5</t>
  </si>
  <si>
    <t>AI_7</t>
  </si>
  <si>
    <t>AI_8</t>
  </si>
  <si>
    <t>AI_11</t>
  </si>
  <si>
    <t>AI_12</t>
  </si>
  <si>
    <t>AI_PT105</t>
  </si>
  <si>
    <t>AI_PT109</t>
    <phoneticPr fontId="1" type="noConversion"/>
  </si>
  <si>
    <t>AI_6</t>
    <phoneticPr fontId="1" type="noConversion"/>
  </si>
  <si>
    <t>AI_2</t>
    <phoneticPr fontId="1" type="noConversion"/>
  </si>
  <si>
    <t>AI_PT146</t>
    <phoneticPr fontId="1" type="noConversion"/>
  </si>
  <si>
    <t>AI_PT162</t>
    <phoneticPr fontId="1" type="noConversion"/>
  </si>
  <si>
    <t>AI_PT383</t>
    <phoneticPr fontId="1" type="noConversion"/>
  </si>
  <si>
    <t>AI_CS324</t>
    <phoneticPr fontId="1" type="noConversion"/>
  </si>
  <si>
    <t>AI_PT113</t>
    <phoneticPr fontId="1" type="noConversion"/>
  </si>
  <si>
    <t>AI_PT123</t>
    <phoneticPr fontId="1" type="noConversion"/>
  </si>
  <si>
    <t>MFC_BNG</t>
    <phoneticPr fontId="1" type="noConversion"/>
  </si>
  <si>
    <t>AI_MFC111</t>
    <phoneticPr fontId="1" type="noConversion"/>
  </si>
  <si>
    <t>MFC_PNG</t>
    <phoneticPr fontId="1" type="noConversion"/>
  </si>
  <si>
    <t>AI_MFC121</t>
    <phoneticPr fontId="1" type="noConversion"/>
  </si>
  <si>
    <t>AI_MFM211</t>
    <phoneticPr fontId="1" type="noConversion"/>
  </si>
  <si>
    <t>AI_9</t>
    <phoneticPr fontId="1" type="noConversion"/>
  </si>
  <si>
    <t>AI_MFM222</t>
    <phoneticPr fontId="1" type="noConversion"/>
  </si>
  <si>
    <t>AI_10</t>
  </si>
  <si>
    <t>AI_MFM231</t>
    <phoneticPr fontId="1" type="noConversion"/>
  </si>
  <si>
    <t>AI_MFM315</t>
    <phoneticPr fontId="1" type="noConversion"/>
  </si>
  <si>
    <t>AO_1</t>
    <phoneticPr fontId="1" type="noConversion"/>
  </si>
  <si>
    <t>AO_AB232</t>
    <phoneticPr fontId="1" type="noConversion"/>
  </si>
  <si>
    <t>AO_8</t>
    <phoneticPr fontId="1" type="noConversion"/>
  </si>
  <si>
    <t>AO_P108</t>
    <phoneticPr fontId="1" type="noConversion"/>
  </si>
  <si>
    <t>AO_2</t>
    <phoneticPr fontId="1" type="noConversion"/>
  </si>
  <si>
    <t>AO_P380</t>
    <phoneticPr fontId="1" type="noConversion"/>
  </si>
  <si>
    <t>AO_3</t>
    <phoneticPr fontId="1" type="noConversion"/>
  </si>
  <si>
    <t>AO_4</t>
    <phoneticPr fontId="1" type="noConversion"/>
  </si>
  <si>
    <t>AO_AB212</t>
    <phoneticPr fontId="1" type="noConversion"/>
  </si>
  <si>
    <t>AO_P375</t>
    <phoneticPr fontId="1" type="noConversion"/>
  </si>
  <si>
    <t>AO_5</t>
    <phoneticPr fontId="1" type="noConversion"/>
  </si>
  <si>
    <t>AO_P341</t>
    <phoneticPr fontId="1" type="noConversion"/>
  </si>
  <si>
    <t>AO_P370</t>
    <phoneticPr fontId="1" type="noConversion"/>
  </si>
  <si>
    <t>AO_6</t>
    <phoneticPr fontId="1" type="noConversion"/>
  </si>
  <si>
    <t>AO_9</t>
    <phoneticPr fontId="1" type="noConversion"/>
  </si>
  <si>
    <t>AO_AB221</t>
    <phoneticPr fontId="1" type="noConversion"/>
  </si>
  <si>
    <t>AO_P351</t>
    <phoneticPr fontId="1" type="noConversion"/>
  </si>
  <si>
    <t>AO_10</t>
    <phoneticPr fontId="1" type="noConversion"/>
  </si>
  <si>
    <t>DI_GD501</t>
    <phoneticPr fontId="1" type="noConversion"/>
  </si>
  <si>
    <t>DI_GD502</t>
  </si>
  <si>
    <t>DI_FAN504</t>
    <phoneticPr fontId="1" type="noConversion"/>
  </si>
  <si>
    <t>DI_TJ_SIG</t>
    <phoneticPr fontId="1" type="noConversion"/>
  </si>
  <si>
    <t>DO_1</t>
    <phoneticPr fontId="1" type="noConversion"/>
  </si>
  <si>
    <t>DO_6</t>
    <phoneticPr fontId="1" type="noConversion"/>
  </si>
  <si>
    <t>DO_SV102</t>
    <phoneticPr fontId="1" type="noConversion"/>
  </si>
  <si>
    <t>DO_5</t>
    <phoneticPr fontId="1" type="noConversion"/>
  </si>
  <si>
    <t>DO_SV103</t>
    <phoneticPr fontId="1" type="noConversion"/>
  </si>
  <si>
    <t>DO_2</t>
    <phoneticPr fontId="1" type="noConversion"/>
  </si>
  <si>
    <t>DO_SV125</t>
    <phoneticPr fontId="1" type="noConversion"/>
  </si>
  <si>
    <t>DO_SV149</t>
    <phoneticPr fontId="1" type="noConversion"/>
  </si>
  <si>
    <t>DO_3</t>
    <phoneticPr fontId="1" type="noConversion"/>
  </si>
  <si>
    <t>DO_SV323</t>
    <phoneticPr fontId="1" type="noConversion"/>
  </si>
  <si>
    <t>DO_8</t>
    <phoneticPr fontId="1" type="noConversion"/>
  </si>
  <si>
    <t>DO_MV155</t>
    <phoneticPr fontId="1" type="noConversion"/>
  </si>
  <si>
    <t>DO_9</t>
    <phoneticPr fontId="1" type="noConversion"/>
  </si>
  <si>
    <t>DO_MV300</t>
    <phoneticPr fontId="1" type="noConversion"/>
  </si>
  <si>
    <t>DO_10</t>
    <phoneticPr fontId="1" type="noConversion"/>
  </si>
  <si>
    <t>DO_MV390</t>
    <phoneticPr fontId="1" type="noConversion"/>
  </si>
  <si>
    <t>DO_11</t>
    <phoneticPr fontId="1" type="noConversion"/>
  </si>
  <si>
    <t>DO_MV148</t>
    <phoneticPr fontId="1" type="noConversion"/>
  </si>
  <si>
    <t>DO_12</t>
    <phoneticPr fontId="1" type="noConversion"/>
  </si>
  <si>
    <t>DO_MV150</t>
    <phoneticPr fontId="1" type="noConversion"/>
  </si>
  <si>
    <t>DO_13</t>
    <phoneticPr fontId="1" type="noConversion"/>
  </si>
  <si>
    <t>DO_MV158</t>
    <phoneticPr fontId="1" type="noConversion"/>
  </si>
  <si>
    <t>DO_14</t>
    <phoneticPr fontId="1" type="noConversion"/>
  </si>
  <si>
    <t>DO_MV124</t>
    <phoneticPr fontId="1" type="noConversion"/>
  </si>
  <si>
    <t>DO_MV131</t>
    <phoneticPr fontId="1" type="noConversion"/>
  </si>
  <si>
    <t>DO_15</t>
    <phoneticPr fontId="1" type="noConversion"/>
  </si>
  <si>
    <t>DO_4</t>
    <phoneticPr fontId="1" type="noConversion"/>
  </si>
  <si>
    <t>DO_SV145</t>
    <phoneticPr fontId="1" type="noConversion"/>
  </si>
  <si>
    <t>전원마그네트</t>
    <phoneticPr fontId="1" type="noConversion"/>
  </si>
  <si>
    <t>DO_MC_SW</t>
    <phoneticPr fontId="1" type="noConversion"/>
  </si>
  <si>
    <t>LTS상단히터</t>
    <phoneticPr fontId="1" type="noConversion"/>
  </si>
  <si>
    <t>LTS하단히터</t>
    <phoneticPr fontId="1" type="noConversion"/>
  </si>
  <si>
    <t>DO_HT194</t>
  </si>
  <si>
    <t>DO_HT193</t>
    <phoneticPr fontId="1" type="noConversion"/>
  </si>
  <si>
    <t>Prox 상단히터</t>
    <phoneticPr fontId="1" type="noConversion"/>
  </si>
  <si>
    <t>DO_HT195</t>
  </si>
  <si>
    <t>Prox 하단히터</t>
    <phoneticPr fontId="1" type="noConversion"/>
  </si>
  <si>
    <t>DO_HT196</t>
  </si>
  <si>
    <t>점화트랜스</t>
    <phoneticPr fontId="1" type="noConversion"/>
  </si>
  <si>
    <t>DO_IGN175</t>
    <phoneticPr fontId="1" type="noConversion"/>
  </si>
  <si>
    <t>CH1</t>
    <phoneticPr fontId="1" type="noConversion"/>
  </si>
  <si>
    <t>CH2</t>
  </si>
  <si>
    <t>CH3</t>
  </si>
  <si>
    <t>CH4</t>
  </si>
  <si>
    <t>CH5</t>
  </si>
  <si>
    <t>CH6</t>
  </si>
  <si>
    <t>CH7</t>
  </si>
  <si>
    <t>CH8</t>
  </si>
  <si>
    <t>CH9</t>
  </si>
  <si>
    <t>CH10</t>
  </si>
  <si>
    <t>CH11</t>
  </si>
  <si>
    <t>CH12</t>
  </si>
  <si>
    <t>CH13</t>
  </si>
  <si>
    <t>CH14</t>
  </si>
  <si>
    <t>CH15</t>
  </si>
  <si>
    <t>CH16</t>
  </si>
  <si>
    <t>CH17</t>
  </si>
  <si>
    <t>CH18</t>
  </si>
  <si>
    <t>CH19</t>
  </si>
  <si>
    <t>CH21</t>
    <phoneticPr fontId="1" type="noConversion"/>
  </si>
  <si>
    <t>CH22</t>
  </si>
  <si>
    <t>CH23</t>
  </si>
  <si>
    <t>CH24</t>
  </si>
  <si>
    <t>CH25</t>
  </si>
  <si>
    <t>CH26</t>
  </si>
  <si>
    <t>CH27</t>
  </si>
  <si>
    <t>CH28</t>
  </si>
  <si>
    <t>CH29</t>
  </si>
  <si>
    <t>CH30</t>
  </si>
  <si>
    <t>CH31</t>
  </si>
  <si>
    <t>CH32</t>
  </si>
  <si>
    <t>MCU PIN No.</t>
    <phoneticPr fontId="1" type="noConversion"/>
  </si>
  <si>
    <t>DI_FD176</t>
    <phoneticPr fontId="1" type="noConversion"/>
  </si>
  <si>
    <t>TYPE</t>
    <phoneticPr fontId="1" type="noConversion"/>
  </si>
  <si>
    <t>측정장소</t>
    <phoneticPr fontId="1" type="noConversion"/>
  </si>
  <si>
    <t>체널 번호</t>
    <phoneticPr fontId="1" type="noConversion"/>
  </si>
  <si>
    <t>게측온도</t>
    <phoneticPr fontId="1" type="noConversion"/>
  </si>
  <si>
    <t>측정 위치</t>
    <phoneticPr fontId="1" type="noConversion"/>
  </si>
  <si>
    <t>값(low/High)</t>
    <phoneticPr fontId="1" type="noConversion"/>
  </si>
  <si>
    <t>상태</t>
    <phoneticPr fontId="1" type="noConversion"/>
  </si>
  <si>
    <t>아날로그       입력값</t>
    <phoneticPr fontId="1" type="noConversion"/>
  </si>
  <si>
    <t>환산값                 (압력/유량)</t>
    <phoneticPr fontId="1" type="noConversion"/>
  </si>
  <si>
    <t>아날로그                    출력값</t>
    <phoneticPr fontId="1" type="noConversion"/>
  </si>
  <si>
    <t>환산값                       (압력/유량)</t>
    <phoneticPr fontId="1" type="noConversion"/>
  </si>
  <si>
    <t>제어 위치</t>
    <phoneticPr fontId="1" type="noConversion"/>
  </si>
  <si>
    <t>온도 측정</t>
    <phoneticPr fontId="1" type="noConversion"/>
  </si>
  <si>
    <t>아날로그 입력</t>
    <phoneticPr fontId="1" type="noConversion"/>
  </si>
  <si>
    <t>디지털 입력</t>
    <phoneticPr fontId="1" type="noConversion"/>
  </si>
  <si>
    <t>아날로그 출력</t>
    <phoneticPr fontId="1" type="noConversion"/>
  </si>
  <si>
    <t>디지털 출력</t>
    <phoneticPr fontId="1" type="noConversion"/>
  </si>
  <si>
    <t>AI_PT163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</si>
</sst>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</cellStyleXfs>
  <cellXfs count="196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8" borderId="1" xfId="1" applyNumberFormat="1" applyFont="1" applyFill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3" fillId="0" borderId="1" xfId="1" applyNumberFormat="1" applyFont="1" applyFill="1" applyBorder="1" applyAlignment="1">
      <alignment horizontal="center" vertical="center"/>
    </xf>
    <xf numFmtId="0" fontId="3" fillId="0" borderId="1" xfId="2" applyNumberFormat="1" applyFont="1" applyFill="1" applyBorder="1" applyAlignment="1">
      <alignment horizontal="center" vertical="center"/>
    </xf>
    <xf numFmtId="0" fontId="3" fillId="0" borderId="1" xfId="2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4" fillId="0" borderId="1" xfId="0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2" xfId="1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right" vertical="center"/>
    </xf>
    <xf numFmtId="0" fontId="3" fillId="0" borderId="2" xfId="0" applyFont="1" applyBorder="1">
      <alignment vertical="center"/>
    </xf>
    <xf numFmtId="0" fontId="3" fillId="0" borderId="2" xfId="2" applyFont="1" applyFill="1" applyBorder="1" applyAlignment="1">
      <alignment horizontal="center" vertical="center"/>
    </xf>
    <xf numFmtId="0" fontId="3" fillId="0" borderId="2" xfId="2" applyNumberFormat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0" quotePrefix="1" applyFont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3" fillId="0" borderId="4" xfId="0" applyFont="1" applyBorder="1" applyAlignment="1">
      <alignment horizontal="center" vertical="center"/>
    </xf>
    <xf numFmtId="0" fontId="3" fillId="0" borderId="4" xfId="2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4" xfId="0" applyFont="1" applyBorder="1" applyAlignment="1">
      <alignment horizontal="right" vertical="center"/>
    </xf>
    <xf numFmtId="0" fontId="3" fillId="0" borderId="4" xfId="0" applyFont="1" applyBorder="1">
      <alignment vertical="center"/>
    </xf>
    <xf numFmtId="0" fontId="3" fillId="0" borderId="4" xfId="0" quotePrefix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6" xfId="1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3" fillId="0" borderId="6" xfId="0" applyFont="1" applyBorder="1" applyAlignment="1">
      <alignment horizontal="right" vertical="center"/>
    </xf>
    <xf numFmtId="0" fontId="3" fillId="0" borderId="6" xfId="0" applyFont="1" applyBorder="1">
      <alignment vertical="center"/>
    </xf>
    <xf numFmtId="0" fontId="3" fillId="0" borderId="7" xfId="0" applyFont="1" applyBorder="1">
      <alignment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>
      <alignment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1" applyNumberFormat="1" applyFont="1" applyFill="1" applyBorder="1" applyAlignment="1">
      <alignment horizontal="center" vertical="center"/>
    </xf>
    <xf numFmtId="0" fontId="3" fillId="0" borderId="11" xfId="1" applyNumberFormat="1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0" borderId="12" xfId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/>
    </xf>
    <xf numFmtId="0" fontId="3" fillId="0" borderId="11" xfId="0" applyFont="1" applyBorder="1" applyAlignment="1">
      <alignment horizontal="right" vertical="center"/>
    </xf>
    <xf numFmtId="0" fontId="3" fillId="0" borderId="11" xfId="0" applyFont="1" applyBorder="1">
      <alignment vertical="center"/>
    </xf>
    <xf numFmtId="0" fontId="3" fillId="0" borderId="13" xfId="0" applyFont="1" applyBorder="1">
      <alignment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3" fillId="8" borderId="12" xfId="0" applyFont="1" applyFill="1" applyBorder="1" applyAlignment="1">
      <alignment horizontal="center" vertical="center"/>
    </xf>
    <xf numFmtId="0" fontId="3" fillId="8" borderId="12" xfId="1" applyNumberFormat="1" applyFont="1" applyFill="1" applyBorder="1" applyAlignment="1">
      <alignment horizontal="center" vertical="center"/>
    </xf>
    <xf numFmtId="0" fontId="3" fillId="7" borderId="12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left" vertical="center"/>
    </xf>
    <xf numFmtId="0" fontId="3" fillId="0" borderId="12" xfId="0" applyFont="1" applyBorder="1">
      <alignment vertical="center"/>
    </xf>
    <xf numFmtId="0" fontId="3" fillId="0" borderId="14" xfId="0" applyFont="1" applyBorder="1">
      <alignment vertical="center"/>
    </xf>
    <xf numFmtId="0" fontId="3" fillId="0" borderId="4" xfId="1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4" xfId="1" applyFont="1" applyFill="1" applyBorder="1">
      <alignment vertical="center"/>
    </xf>
    <xf numFmtId="0" fontId="3" fillId="0" borderId="15" xfId="0" applyFont="1" applyBorder="1">
      <alignment vertical="center"/>
    </xf>
    <xf numFmtId="0" fontId="3" fillId="2" borderId="12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right" vertical="center"/>
    </xf>
    <xf numFmtId="0" fontId="3" fillId="0" borderId="12" xfId="2" applyNumberFormat="1" applyFont="1" applyFill="1" applyBorder="1" applyAlignment="1">
      <alignment horizontal="center" vertical="center"/>
    </xf>
    <xf numFmtId="0" fontId="3" fillId="0" borderId="12" xfId="2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3" fillId="2" borderId="2" xfId="3" applyNumberFormat="1" applyFont="1" applyFill="1" applyBorder="1" applyAlignment="1">
      <alignment horizontal="center" vertical="center"/>
    </xf>
    <xf numFmtId="0" fontId="3" fillId="0" borderId="4" xfId="2" applyFont="1" applyFill="1" applyBorder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3" fillId="2" borderId="12" xfId="3" applyNumberFormat="1" applyFont="1" applyFill="1" applyBorder="1" applyAlignment="1">
      <alignment horizontal="center" vertical="center"/>
    </xf>
    <xf numFmtId="0" fontId="3" fillId="0" borderId="12" xfId="1" applyFont="1" applyFill="1" applyBorder="1" applyAlignment="1">
      <alignment vertical="center"/>
    </xf>
    <xf numFmtId="0" fontId="3" fillId="0" borderId="12" xfId="0" quotePrefix="1" applyFont="1" applyBorder="1" applyAlignment="1">
      <alignment horizontal="center" vertical="center"/>
    </xf>
    <xf numFmtId="0" fontId="3" fillId="0" borderId="4" xfId="2" applyFont="1" applyFill="1" applyBorder="1" applyAlignment="1">
      <alignment horizontal="center" vertical="center"/>
    </xf>
    <xf numFmtId="0" fontId="3" fillId="2" borderId="4" xfId="3" applyNumberFormat="1" applyFont="1" applyFill="1" applyBorder="1" applyAlignment="1">
      <alignment horizontal="center" vertical="center"/>
    </xf>
    <xf numFmtId="0" fontId="3" fillId="0" borderId="4" xfId="1" applyFont="1" applyFill="1" applyBorder="1" applyAlignment="1">
      <alignment vertical="center"/>
    </xf>
    <xf numFmtId="0" fontId="3" fillId="0" borderId="6" xfId="2" applyFont="1" applyFill="1" applyBorder="1" applyAlignment="1">
      <alignment horizontal="center" vertical="center"/>
    </xf>
    <xf numFmtId="0" fontId="3" fillId="0" borderId="6" xfId="1" applyFont="1" applyFill="1" applyBorder="1" applyAlignment="1">
      <alignment horizontal="center" vertical="center"/>
    </xf>
    <xf numFmtId="0" fontId="3" fillId="0" borderId="6" xfId="0" quotePrefix="1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1" xfId="0" quotePrefix="1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7" borderId="18" xfId="0" applyFont="1" applyFill="1" applyBorder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8" xfId="0" applyFont="1" applyBorder="1" applyAlignment="1">
      <alignment horizontal="right" vertical="center"/>
    </xf>
    <xf numFmtId="0" fontId="3" fillId="0" borderId="18" xfId="0" applyFont="1" applyBorder="1">
      <alignment vertical="center"/>
    </xf>
    <xf numFmtId="0" fontId="3" fillId="0" borderId="18" xfId="0" quotePrefix="1" applyFont="1" applyBorder="1" applyAlignment="1">
      <alignment horizontal="center" vertical="center"/>
    </xf>
    <xf numFmtId="0" fontId="3" fillId="0" borderId="19" xfId="0" applyFont="1" applyBorder="1">
      <alignment vertical="center"/>
    </xf>
    <xf numFmtId="0" fontId="3" fillId="7" borderId="1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4" fillId="0" borderId="1" xfId="1" applyFont="1" applyFill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5" fillId="7" borderId="2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3" fillId="9" borderId="2" xfId="2" applyFont="1" applyFill="1" applyBorder="1">
      <alignment vertical="center"/>
    </xf>
    <xf numFmtId="0" fontId="3" fillId="9" borderId="1" xfId="2" applyFont="1" applyFill="1" applyBorder="1" applyAlignment="1">
      <alignment horizontal="left" vertical="center"/>
    </xf>
    <xf numFmtId="0" fontId="3" fillId="9" borderId="1" xfId="2" applyFont="1" applyFill="1" applyBorder="1">
      <alignment vertical="center"/>
    </xf>
    <xf numFmtId="0" fontId="0" fillId="9" borderId="6" xfId="0" applyFill="1" applyBorder="1" applyAlignment="1">
      <alignment horizontal="left" vertical="center"/>
    </xf>
    <xf numFmtId="0" fontId="3" fillId="9" borderId="1" xfId="0" applyFont="1" applyFill="1" applyBorder="1" applyAlignment="1">
      <alignment horizontal="left" vertical="center"/>
    </xf>
    <xf numFmtId="0" fontId="3" fillId="9" borderId="6" xfId="0" applyFont="1" applyFill="1" applyBorder="1" applyAlignment="1">
      <alignment horizontal="left" vertical="center"/>
    </xf>
    <xf numFmtId="0" fontId="0" fillId="9" borderId="1" xfId="0" applyFill="1" applyBorder="1" applyAlignment="1">
      <alignment horizontal="left" vertical="center"/>
    </xf>
    <xf numFmtId="0" fontId="3" fillId="10" borderId="1" xfId="0" applyFont="1" applyFill="1" applyBorder="1" applyAlignment="1">
      <alignment horizontal="center" vertical="center"/>
    </xf>
    <xf numFmtId="0" fontId="0" fillId="9" borderId="2" xfId="0" applyFill="1" applyBorder="1" applyAlignment="1">
      <alignment horizontal="left" vertical="center"/>
    </xf>
    <xf numFmtId="0" fontId="3" fillId="9" borderId="1" xfId="1" applyFont="1" applyFill="1" applyBorder="1">
      <alignment vertical="center"/>
    </xf>
    <xf numFmtId="0" fontId="3" fillId="9" borderId="1" xfId="1" applyNumberFormat="1" applyFont="1" applyFill="1" applyBorder="1" applyAlignment="1">
      <alignment horizontal="left" vertical="center"/>
    </xf>
    <xf numFmtId="0" fontId="3" fillId="9" borderId="6" xfId="1" applyFont="1" applyFill="1" applyBorder="1">
      <alignment vertical="center"/>
    </xf>
    <xf numFmtId="0" fontId="4" fillId="9" borderId="1" xfId="1" applyFont="1" applyFill="1" applyBorder="1">
      <alignment vertical="center"/>
    </xf>
    <xf numFmtId="0" fontId="0" fillId="11" borderId="1" xfId="0" applyFill="1" applyBorder="1" applyAlignment="1">
      <alignment horizontal="left" vertical="center"/>
    </xf>
    <xf numFmtId="0" fontId="3" fillId="11" borderId="4" xfId="1" applyFont="1" applyFill="1" applyBorder="1" applyAlignment="1">
      <alignment horizontal="center" vertical="center"/>
    </xf>
    <xf numFmtId="0" fontId="3" fillId="11" borderId="12" xfId="1" applyFont="1" applyFill="1" applyBorder="1" applyAlignment="1">
      <alignment horizontal="center" vertical="center"/>
    </xf>
    <xf numFmtId="0" fontId="3" fillId="11" borderId="12" xfId="2" applyNumberFormat="1" applyFont="1" applyFill="1" applyBorder="1" applyAlignment="1">
      <alignment horizontal="center" vertical="center"/>
    </xf>
    <xf numFmtId="0" fontId="3" fillId="11" borderId="2" xfId="2" applyFont="1" applyFill="1" applyBorder="1">
      <alignment vertical="center"/>
    </xf>
    <xf numFmtId="0" fontId="3" fillId="11" borderId="1" xfId="2" applyFont="1" applyFill="1" applyBorder="1">
      <alignment vertical="center"/>
    </xf>
    <xf numFmtId="0" fontId="3" fillId="11" borderId="4" xfId="2" applyFont="1" applyFill="1" applyBorder="1" applyAlignment="1">
      <alignment horizontal="center" vertical="center"/>
    </xf>
    <xf numFmtId="0" fontId="3" fillId="11" borderId="12" xfId="2" applyFont="1" applyFill="1" applyBorder="1" applyAlignment="1">
      <alignment horizontal="center" vertical="center"/>
    </xf>
    <xf numFmtId="0" fontId="3" fillId="11" borderId="4" xfId="2" applyFont="1" applyFill="1" applyBorder="1">
      <alignment vertical="center"/>
    </xf>
    <xf numFmtId="0" fontId="0" fillId="11" borderId="6" xfId="0" applyFill="1" applyBorder="1" applyAlignment="1">
      <alignment horizontal="left" vertical="center"/>
    </xf>
    <xf numFmtId="0" fontId="3" fillId="11" borderId="1" xfId="0" applyFont="1" applyFill="1" applyBorder="1" applyAlignment="1">
      <alignment horizontal="left" vertical="center"/>
    </xf>
    <xf numFmtId="0" fontId="3" fillId="11" borderId="6" xfId="0" applyFont="1" applyFill="1" applyBorder="1" applyAlignment="1">
      <alignment horizontal="left" vertical="center"/>
    </xf>
    <xf numFmtId="0" fontId="0" fillId="11" borderId="3" xfId="0" applyFill="1" applyBorder="1" applyAlignment="1">
      <alignment horizontal="center" vertical="center"/>
    </xf>
    <xf numFmtId="0" fontId="0" fillId="11" borderId="12" xfId="0" applyFill="1" applyBorder="1" applyAlignment="1">
      <alignment horizontal="center" vertical="center"/>
    </xf>
    <xf numFmtId="0" fontId="0" fillId="11" borderId="18" xfId="0" applyFill="1" applyBorder="1" applyAlignment="1">
      <alignment horizontal="left" vertical="center"/>
    </xf>
    <xf numFmtId="0" fontId="0" fillId="11" borderId="2" xfId="0" applyFill="1" applyBorder="1" applyAlignment="1">
      <alignment horizontal="left" vertical="center"/>
    </xf>
    <xf numFmtId="0" fontId="3" fillId="11" borderId="4" xfId="0" applyFont="1" applyFill="1" applyBorder="1" applyAlignment="1">
      <alignment horizontal="left" vertical="center"/>
    </xf>
    <xf numFmtId="0" fontId="3" fillId="11" borderId="6" xfId="1" applyFont="1" applyFill="1" applyBorder="1">
      <alignment vertical="center"/>
    </xf>
    <xf numFmtId="0" fontId="3" fillId="11" borderId="1" xfId="1" applyFont="1" applyFill="1" applyBorder="1">
      <alignment vertical="center"/>
    </xf>
    <xf numFmtId="0" fontId="4" fillId="11" borderId="1" xfId="1" applyFont="1" applyFill="1" applyBorder="1">
      <alignment vertical="center"/>
    </xf>
    <xf numFmtId="0" fontId="3" fillId="11" borderId="3" xfId="1" applyFont="1" applyFill="1" applyBorder="1" applyAlignment="1">
      <alignment horizontal="center" vertical="center"/>
    </xf>
    <xf numFmtId="0" fontId="3" fillId="11" borderId="4" xfId="1" applyFont="1" applyFill="1" applyBorder="1">
      <alignment vertical="center"/>
    </xf>
    <xf numFmtId="0" fontId="3" fillId="11" borderId="1" xfId="1" applyNumberFormat="1" applyFont="1" applyFill="1" applyBorder="1" applyAlignment="1">
      <alignment horizontal="left" vertical="center"/>
    </xf>
    <xf numFmtId="0" fontId="3" fillId="0" borderId="20" xfId="0" applyFont="1" applyBorder="1" applyAlignment="1">
      <alignment horizontal="left" vertical="center"/>
    </xf>
    <xf numFmtId="0" fontId="3" fillId="11" borderId="18" xfId="2" applyFont="1" applyFill="1" applyBorder="1">
      <alignment vertical="center"/>
    </xf>
    <xf numFmtId="0" fontId="0" fillId="0" borderId="1" xfId="0" applyBorder="1">
      <alignment vertical="center"/>
    </xf>
    <xf numFmtId="0" fontId="0" fillId="0" borderId="6" xfId="0" applyBorder="1">
      <alignment vertical="center"/>
    </xf>
    <xf numFmtId="0" fontId="0" fillId="0" borderId="11" xfId="0" applyBorder="1">
      <alignment vertical="center"/>
    </xf>
    <xf numFmtId="0" fontId="3" fillId="9" borderId="8" xfId="2" applyFont="1" applyFill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3" fillId="9" borderId="8" xfId="2" applyFont="1" applyFill="1" applyBorder="1">
      <alignment vertical="center"/>
    </xf>
    <xf numFmtId="0" fontId="3" fillId="0" borderId="9" xfId="0" applyFont="1" applyBorder="1" applyAlignment="1">
      <alignment horizontal="left" vertical="center"/>
    </xf>
    <xf numFmtId="0" fontId="3" fillId="9" borderId="10" xfId="2" applyFont="1" applyFill="1" applyBorder="1">
      <alignment vertical="center"/>
    </xf>
    <xf numFmtId="0" fontId="3" fillId="0" borderId="13" xfId="0" applyFont="1" applyBorder="1" applyAlignment="1">
      <alignment horizontal="left" vertical="center"/>
    </xf>
    <xf numFmtId="0" fontId="0" fillId="0" borderId="2" xfId="0" applyBorder="1">
      <alignment vertical="center"/>
    </xf>
    <xf numFmtId="0" fontId="3" fillId="9" borderId="16" xfId="2" applyFont="1" applyFill="1" applyBorder="1">
      <alignment vertical="center"/>
    </xf>
    <xf numFmtId="0" fontId="3" fillId="11" borderId="22" xfId="2" applyFont="1" applyFill="1" applyBorder="1">
      <alignment vertical="center"/>
    </xf>
    <xf numFmtId="0" fontId="3" fillId="11" borderId="23" xfId="2" applyFont="1" applyFill="1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9" borderId="8" xfId="0" applyFill="1" applyBorder="1" applyAlignment="1">
      <alignment horizontal="left" vertical="center"/>
    </xf>
    <xf numFmtId="0" fontId="0" fillId="0" borderId="9" xfId="0" applyBorder="1">
      <alignment vertical="center"/>
    </xf>
    <xf numFmtId="0" fontId="3" fillId="9" borderId="8" xfId="0" applyFont="1" applyFill="1" applyBorder="1" applyAlignment="1">
      <alignment horizontal="left" vertical="center"/>
    </xf>
    <xf numFmtId="0" fontId="3" fillId="9" borderId="10" xfId="2" applyFont="1" applyFill="1" applyBorder="1" applyAlignment="1">
      <alignment horizontal="left" vertical="center"/>
    </xf>
    <xf numFmtId="0" fontId="0" fillId="0" borderId="13" xfId="0" applyBorder="1">
      <alignment vertical="center"/>
    </xf>
    <xf numFmtId="0" fontId="0" fillId="9" borderId="10" xfId="0" applyFill="1" applyBorder="1" applyAlignment="1">
      <alignment horizontal="left" vertical="center"/>
    </xf>
    <xf numFmtId="0" fontId="0" fillId="0" borderId="2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2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0" fillId="11" borderId="24" xfId="0" applyFill="1" applyBorder="1" applyAlignment="1">
      <alignment horizontal="left" vertical="center"/>
    </xf>
    <xf numFmtId="0" fontId="3" fillId="11" borderId="0" xfId="0" applyFont="1" applyFill="1" applyAlignment="1">
      <alignment horizontal="left" vertical="center"/>
    </xf>
    <xf numFmtId="0" fontId="0" fillId="11" borderId="0" xfId="0" applyFill="1">
      <alignment vertical="center"/>
    </xf>
    <xf numFmtId="0" fontId="3" fillId="11" borderId="25" xfId="2" applyFont="1" applyFill="1" applyBorder="1" applyAlignment="1">
      <alignment horizontal="left" vertical="center"/>
    </xf>
    <xf numFmtId="0" fontId="3" fillId="11" borderId="25" xfId="0" applyFont="1" applyFill="1" applyBorder="1" applyAlignment="1">
      <alignment horizontal="left" vertical="center"/>
    </xf>
    <xf numFmtId="0" fontId="0" fillId="11" borderId="25" xfId="0" applyFill="1" applyBorder="1">
      <alignment vertical="center"/>
    </xf>
    <xf numFmtId="0" fontId="3" fillId="0" borderId="3" xfId="1" applyFont="1" applyFill="1" applyBorder="1" applyAlignment="1">
      <alignment horizontal="center" vertical="center"/>
    </xf>
    <xf numFmtId="0" fontId="3" fillId="0" borderId="4" xfId="1" applyFont="1" applyFill="1" applyBorder="1" applyAlignment="1">
      <alignment horizontal="center" vertical="center"/>
    </xf>
    <xf numFmtId="0" fontId="3" fillId="0" borderId="12" xfId="1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3" xfId="2" applyFont="1" applyFill="1" applyBorder="1" applyAlignment="1">
      <alignment horizontal="center" vertical="center"/>
    </xf>
    <xf numFmtId="0" fontId="3" fillId="0" borderId="12" xfId="2" applyFont="1" applyFill="1" applyBorder="1" applyAlignment="1">
      <alignment horizontal="center" vertical="center"/>
    </xf>
  </cellXfs>
  <cellStyles count="5">
    <cellStyle name="20% - 강조색1" xfId="1" builtinId="30"/>
    <cellStyle name="20% - 강조색2" xfId="2" builtinId="34"/>
    <cellStyle name="쉼표 [0]" xfId="3" builtinId="6"/>
    <cellStyle name="쉼표 [0] 2" xfId="4" xr:uid="{00000000-0005-0000-0000-000003000000}"/>
    <cellStyle name="표준" xfId="0" builtinId="0"/>
  </cellStyles>
  <dxfs count="290">
    <dxf>
      <fill>
        <patternFill>
          <bgColor theme="4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7C80"/>
        </patternFill>
      </fill>
    </dxf>
    <dxf>
      <fill>
        <patternFill>
          <bgColor theme="6" tint="0.59996337778862885"/>
        </patternFill>
      </fill>
    </dxf>
    <dxf>
      <fill>
        <patternFill>
          <bgColor rgb="FF33CCFF"/>
        </patternFill>
      </fill>
    </dxf>
    <dxf>
      <fill>
        <patternFill>
          <bgColor rgb="FF33CC33"/>
        </patternFill>
      </fill>
    </dxf>
    <dxf>
      <fill>
        <patternFill>
          <bgColor rgb="FFFF66FF"/>
        </patternFill>
      </fill>
    </dxf>
    <dxf>
      <fill>
        <patternFill>
          <bgColor rgb="FF33CCFF"/>
        </patternFill>
      </fill>
    </dxf>
    <dxf>
      <fill>
        <patternFill>
          <bgColor rgb="FF33CC33"/>
        </patternFill>
      </fill>
    </dxf>
    <dxf>
      <fill>
        <patternFill>
          <bgColor rgb="FFFF66FF"/>
        </patternFill>
      </fill>
    </dxf>
    <dxf>
      <fill>
        <patternFill>
          <bgColor rgb="FFFF7C80"/>
        </patternFill>
      </fill>
    </dxf>
    <dxf>
      <fill>
        <patternFill>
          <bgColor theme="6" tint="0.59996337778862885"/>
        </patternFill>
      </fill>
    </dxf>
    <dxf>
      <fill>
        <patternFill>
          <bgColor rgb="FFFF7C80"/>
        </patternFill>
      </fill>
    </dxf>
    <dxf>
      <fill>
        <patternFill>
          <bgColor theme="6" tint="0.59996337778862885"/>
        </patternFill>
      </fill>
    </dxf>
    <dxf>
      <fill>
        <patternFill>
          <bgColor rgb="FF33CCFF"/>
        </patternFill>
      </fill>
    </dxf>
    <dxf>
      <fill>
        <patternFill>
          <bgColor rgb="FF33CC33"/>
        </patternFill>
      </fill>
    </dxf>
    <dxf>
      <fill>
        <patternFill>
          <bgColor rgb="FFFF66FF"/>
        </patternFill>
      </fill>
    </dxf>
    <dxf>
      <fill>
        <patternFill>
          <bgColor rgb="FF33CCFF"/>
        </patternFill>
      </fill>
    </dxf>
    <dxf>
      <fill>
        <patternFill>
          <bgColor rgb="FF33CC33"/>
        </patternFill>
      </fill>
    </dxf>
    <dxf>
      <fill>
        <patternFill>
          <bgColor rgb="FFFF66FF"/>
        </patternFill>
      </fill>
    </dxf>
    <dxf>
      <fill>
        <patternFill>
          <bgColor rgb="FFFF7C8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33CCFF"/>
        </patternFill>
      </fill>
    </dxf>
    <dxf>
      <fill>
        <patternFill>
          <bgColor rgb="FF33CC33"/>
        </patternFill>
      </fill>
    </dxf>
    <dxf>
      <fill>
        <patternFill>
          <bgColor rgb="FFFF66FF"/>
        </patternFill>
      </fill>
    </dxf>
    <dxf>
      <fill>
        <patternFill>
          <bgColor theme="6" tint="0.59996337778862885"/>
        </patternFill>
      </fill>
    </dxf>
    <dxf>
      <fill>
        <patternFill>
          <bgColor rgb="FFFF7C80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66FF"/>
        </patternFill>
      </fill>
    </dxf>
    <dxf>
      <fill>
        <patternFill>
          <bgColor rgb="FF33CC33"/>
        </patternFill>
      </fill>
    </dxf>
    <dxf>
      <fill>
        <patternFill>
          <bgColor rgb="FF33CCFF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66FF"/>
        </patternFill>
      </fill>
    </dxf>
    <dxf>
      <fill>
        <patternFill>
          <bgColor rgb="FF33CC33"/>
        </patternFill>
      </fill>
    </dxf>
    <dxf>
      <fill>
        <patternFill>
          <bgColor rgb="FF33CCFF"/>
        </patternFill>
      </fill>
    </dxf>
    <dxf>
      <fill>
        <patternFill>
          <bgColor rgb="FFFF7C80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66FF"/>
        </patternFill>
      </fill>
    </dxf>
    <dxf>
      <fill>
        <patternFill>
          <bgColor rgb="FF33CC33"/>
        </patternFill>
      </fill>
    </dxf>
    <dxf>
      <fill>
        <patternFill>
          <bgColor rgb="FF33CCFF"/>
        </patternFill>
      </fill>
    </dxf>
    <dxf>
      <fill>
        <patternFill>
          <bgColor theme="6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ill>
        <patternFill>
          <bgColor rgb="FF33CCFF"/>
        </patternFill>
      </fill>
    </dxf>
    <dxf>
      <fill>
        <patternFill>
          <bgColor rgb="FFFF7C80"/>
        </patternFill>
      </fill>
    </dxf>
    <dxf>
      <fill>
        <patternFill>
          <bgColor rgb="FF33CC33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rgb="FF33CCFF"/>
        </patternFill>
      </fill>
    </dxf>
    <dxf>
      <fill>
        <patternFill>
          <bgColor rgb="FF33CC33"/>
        </patternFill>
      </fill>
    </dxf>
    <dxf>
      <fill>
        <patternFill>
          <bgColor rgb="FFFF66FF"/>
        </patternFill>
      </fill>
    </dxf>
    <dxf>
      <fill>
        <patternFill>
          <bgColor rgb="FFFF7C80"/>
        </patternFill>
      </fill>
    </dxf>
    <dxf>
      <fill>
        <patternFill>
          <bgColor theme="6" tint="0.59996337778862885"/>
        </patternFill>
      </fill>
    </dxf>
    <dxf>
      <fill>
        <patternFill>
          <bgColor rgb="FFFF7C80"/>
        </patternFill>
      </fill>
    </dxf>
    <dxf>
      <fill>
        <patternFill>
          <bgColor theme="6" tint="0.59996337778862885"/>
        </patternFill>
      </fill>
    </dxf>
    <dxf>
      <fill>
        <patternFill>
          <bgColor rgb="FF33CCFF"/>
        </patternFill>
      </fill>
    </dxf>
    <dxf>
      <fill>
        <patternFill>
          <bgColor rgb="FFFF66FF"/>
        </patternFill>
      </fill>
    </dxf>
    <dxf>
      <fill>
        <patternFill>
          <bgColor rgb="FF33CC33"/>
        </patternFill>
      </fill>
    </dxf>
    <dxf>
      <fill>
        <patternFill>
          <bgColor theme="6" tint="0.59996337778862885"/>
        </patternFill>
      </fill>
    </dxf>
    <dxf>
      <fill>
        <patternFill>
          <bgColor rgb="FF33CC33"/>
        </patternFill>
      </fill>
    </dxf>
    <dxf>
      <fill>
        <patternFill>
          <bgColor rgb="FF33CCFF"/>
        </patternFill>
      </fill>
    </dxf>
    <dxf>
      <fill>
        <patternFill>
          <bgColor rgb="FFFF66FF"/>
        </patternFill>
      </fill>
    </dxf>
    <dxf>
      <fill>
        <patternFill>
          <bgColor rgb="FFFF7C80"/>
        </patternFill>
      </fill>
    </dxf>
    <dxf>
      <fill>
        <patternFill>
          <bgColor theme="6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66FF"/>
        </patternFill>
      </fill>
    </dxf>
    <dxf>
      <fill>
        <patternFill>
          <bgColor rgb="FF33CC33"/>
        </patternFill>
      </fill>
    </dxf>
    <dxf>
      <fill>
        <patternFill>
          <bgColor rgb="FF33CCFF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66FF"/>
        </patternFill>
      </fill>
    </dxf>
    <dxf>
      <fill>
        <patternFill>
          <bgColor rgb="FF33CC33"/>
        </patternFill>
      </fill>
    </dxf>
    <dxf>
      <fill>
        <patternFill>
          <bgColor rgb="FF33CCFF"/>
        </patternFill>
      </fill>
    </dxf>
    <dxf>
      <fill>
        <patternFill>
          <bgColor rgb="FF33CCFF"/>
        </patternFill>
      </fill>
    </dxf>
    <dxf>
      <fill>
        <patternFill>
          <bgColor theme="6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66FF"/>
        </patternFill>
      </fill>
    </dxf>
    <dxf>
      <fill>
        <patternFill>
          <bgColor rgb="FF33CC33"/>
        </patternFill>
      </fill>
    </dxf>
    <dxf>
      <fill>
        <patternFill>
          <bgColor rgb="FF33CCFF"/>
        </patternFill>
      </fill>
    </dxf>
    <dxf>
      <fill>
        <patternFill>
          <bgColor rgb="FF33CC33"/>
        </patternFill>
      </fill>
    </dxf>
    <dxf>
      <fill>
        <patternFill>
          <bgColor rgb="FFFF66FF"/>
        </patternFill>
      </fill>
    </dxf>
    <dxf>
      <fill>
        <patternFill>
          <bgColor rgb="FFFF7C8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rgb="FF33CCFF"/>
        </patternFill>
      </fill>
    </dxf>
    <dxf>
      <fill>
        <patternFill>
          <bgColor rgb="FF33CC33"/>
        </patternFill>
      </fill>
    </dxf>
    <dxf>
      <fill>
        <patternFill>
          <bgColor rgb="FFFF66FF"/>
        </patternFill>
      </fill>
    </dxf>
    <dxf>
      <fill>
        <patternFill>
          <bgColor rgb="FFFF7C80"/>
        </patternFill>
      </fill>
    </dxf>
    <dxf>
      <fill>
        <patternFill>
          <bgColor theme="6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33CCFF"/>
        </patternFill>
      </fill>
    </dxf>
    <dxf>
      <fill>
        <patternFill>
          <bgColor rgb="FFFF7C80"/>
        </patternFill>
      </fill>
    </dxf>
    <dxf>
      <fill>
        <patternFill>
          <bgColor rgb="FFFF66FF"/>
        </patternFill>
      </fill>
    </dxf>
    <dxf>
      <fill>
        <patternFill>
          <bgColor rgb="FF33CC33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F66FF"/>
        </patternFill>
      </fill>
    </dxf>
    <dxf>
      <fill>
        <patternFill>
          <bgColor rgb="FF33CCFF"/>
        </patternFill>
      </fill>
    </dxf>
    <dxf>
      <fill>
        <patternFill>
          <bgColor theme="6" tint="0.59996337778862885"/>
        </patternFill>
      </fill>
    </dxf>
    <dxf>
      <fill>
        <patternFill>
          <bgColor rgb="FFFF7C80"/>
        </patternFill>
      </fill>
    </dxf>
    <dxf>
      <fill>
        <patternFill>
          <bgColor rgb="FF33CC33"/>
        </patternFill>
      </fill>
    </dxf>
    <dxf>
      <fill>
        <patternFill>
          <bgColor rgb="FF33CCFF"/>
        </patternFill>
      </fill>
    </dxf>
    <dxf>
      <fill>
        <patternFill>
          <bgColor rgb="FF33CC33"/>
        </patternFill>
      </fill>
    </dxf>
    <dxf>
      <fill>
        <patternFill>
          <bgColor theme="6" tint="0.59996337778862885"/>
        </patternFill>
      </fill>
    </dxf>
    <dxf>
      <fill>
        <patternFill>
          <bgColor rgb="FFFF66FF"/>
        </patternFill>
      </fill>
    </dxf>
    <dxf>
      <fill>
        <patternFill>
          <bgColor rgb="FFFF7C80"/>
        </patternFill>
      </fill>
    </dxf>
    <dxf>
      <fill>
        <patternFill>
          <bgColor rgb="FF33CCFF"/>
        </patternFill>
      </fill>
    </dxf>
    <dxf>
      <fill>
        <patternFill>
          <bgColor theme="6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66FF"/>
        </patternFill>
      </fill>
    </dxf>
    <dxf>
      <fill>
        <patternFill>
          <bgColor rgb="FF33CC33"/>
        </patternFill>
      </fill>
    </dxf>
    <dxf>
      <fill>
        <patternFill>
          <bgColor rgb="FFFF7C80"/>
        </patternFill>
      </fill>
    </dxf>
    <dxf>
      <fill>
        <patternFill>
          <bgColor theme="6" tint="0.59996337778862885"/>
        </patternFill>
      </fill>
    </dxf>
    <dxf>
      <fill>
        <patternFill>
          <bgColor rgb="FFFF66FF"/>
        </patternFill>
      </fill>
    </dxf>
    <dxf>
      <fill>
        <patternFill>
          <bgColor rgb="FF33CC33"/>
        </patternFill>
      </fill>
    </dxf>
    <dxf>
      <fill>
        <patternFill>
          <bgColor rgb="FF33CCFF"/>
        </patternFill>
      </fill>
    </dxf>
    <dxf>
      <fill>
        <patternFill>
          <bgColor rgb="FF33CC33"/>
        </patternFill>
      </fill>
    </dxf>
    <dxf>
      <fill>
        <patternFill>
          <bgColor rgb="FF33CCFF"/>
        </patternFill>
      </fill>
    </dxf>
    <dxf>
      <fill>
        <patternFill>
          <bgColor theme="6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rgb="FF33CC33"/>
        </patternFill>
      </fill>
    </dxf>
    <dxf>
      <fill>
        <patternFill>
          <bgColor rgb="FF33CCFF"/>
        </patternFill>
      </fill>
    </dxf>
    <dxf>
      <fill>
        <patternFill>
          <bgColor theme="6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66FF"/>
        </patternFill>
      </fill>
    </dxf>
    <dxf>
      <fill>
        <patternFill>
          <bgColor rgb="FFFF7C80"/>
        </patternFill>
      </fill>
    </dxf>
    <dxf>
      <fill>
        <patternFill>
          <bgColor theme="6" tint="0.59996337778862885"/>
        </patternFill>
      </fill>
    </dxf>
    <dxf>
      <fill>
        <patternFill>
          <bgColor rgb="FF33CCFF"/>
        </patternFill>
      </fill>
    </dxf>
    <dxf>
      <fill>
        <patternFill>
          <bgColor rgb="FF33CC33"/>
        </patternFill>
      </fill>
    </dxf>
    <dxf>
      <fill>
        <patternFill>
          <bgColor rgb="FFFF66FF"/>
        </patternFill>
      </fill>
    </dxf>
  </dxfs>
  <tableStyles count="0" defaultTableStyle="TableStyleMedium2" defaultPivotStyle="PivotStyleLight16"/>
  <colors>
    <mruColors>
      <color rgb="FFDAD500"/>
      <color rgb="FFF8F200"/>
      <color rgb="FF0BEB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11"/>
  <sheetViews>
    <sheetView zoomScaleNormal="100" zoomScaleSheetLayoutView="100" workbookViewId="0">
      <pane ySplit="1" topLeftCell="A56" activePane="bottomLeft" state="frozen"/>
      <selection activeCell="C1" sqref="C1"/>
      <selection pane="bottomLeft" activeCell="E56" sqref="E56"/>
    </sheetView>
  </sheetViews>
  <sheetFormatPr defaultColWidth="9" defaultRowHeight="16.5" x14ac:dyDescent="0.3"/>
  <cols>
    <col min="1" max="1" width="5" style="7" customWidth="1"/>
    <col min="2" max="2" width="9.875" style="1" customWidth="1"/>
    <col min="3" max="3" width="11.25" style="1" customWidth="1"/>
    <col min="4" max="4" width="12.125" style="7" customWidth="1"/>
    <col min="5" max="5" width="16.75" style="7" customWidth="1"/>
    <col min="6" max="6" width="16.75" style="1" customWidth="1"/>
    <col min="7" max="7" width="47.25" style="1" customWidth="1"/>
    <col min="8" max="8" width="38" style="7" customWidth="1"/>
    <col min="9" max="9" width="12.125" style="8" customWidth="1"/>
    <col min="10" max="10" width="48.625" style="1" customWidth="1"/>
    <col min="11" max="11" width="14.625" style="1" bestFit="1" customWidth="1"/>
    <col min="12" max="12" width="9.25" style="1" bestFit="1" customWidth="1"/>
    <col min="13" max="13" width="17.375" style="7" customWidth="1"/>
    <col min="14" max="14" width="7.125" style="1" customWidth="1"/>
    <col min="15" max="16384" width="9" style="1"/>
  </cols>
  <sheetData>
    <row r="1" spans="1:14" ht="33" x14ac:dyDescent="0.3">
      <c r="A1" s="61" t="s">
        <v>28</v>
      </c>
      <c r="B1" s="62" t="s">
        <v>13</v>
      </c>
      <c r="C1" s="63" t="s">
        <v>26</v>
      </c>
      <c r="D1" s="64" t="s">
        <v>23</v>
      </c>
      <c r="E1" s="63" t="s">
        <v>22</v>
      </c>
      <c r="F1" s="63" t="s">
        <v>24</v>
      </c>
      <c r="G1" s="65" t="s">
        <v>33</v>
      </c>
      <c r="H1" s="62" t="s">
        <v>12</v>
      </c>
      <c r="I1" s="62" t="s">
        <v>14</v>
      </c>
      <c r="J1" s="62" t="s">
        <v>155</v>
      </c>
      <c r="K1" s="62" t="s">
        <v>11</v>
      </c>
      <c r="L1" s="63" t="s">
        <v>10</v>
      </c>
      <c r="M1" s="62" t="s">
        <v>9</v>
      </c>
      <c r="N1" s="66" t="s">
        <v>8</v>
      </c>
    </row>
    <row r="2" spans="1:14" x14ac:dyDescent="0.3">
      <c r="A2" s="49">
        <v>1</v>
      </c>
      <c r="B2" s="2" t="s">
        <v>30</v>
      </c>
      <c r="C2" s="2" t="s">
        <v>31</v>
      </c>
      <c r="D2" s="10" t="s">
        <v>29</v>
      </c>
      <c r="E2" s="10">
        <v>506</v>
      </c>
      <c r="F2" s="11" t="str">
        <f>$D2 &amp; $E2</f>
        <v>INV506</v>
      </c>
      <c r="G2" s="9">
        <v>485</v>
      </c>
      <c r="H2" s="4" t="s">
        <v>44</v>
      </c>
      <c r="I2" s="4"/>
      <c r="J2" s="2"/>
      <c r="K2" s="5"/>
      <c r="L2" s="5"/>
      <c r="M2" s="2"/>
      <c r="N2" s="50"/>
    </row>
    <row r="3" spans="1:14" x14ac:dyDescent="0.3">
      <c r="A3" s="49">
        <v>2</v>
      </c>
      <c r="B3" s="2" t="s">
        <v>30</v>
      </c>
      <c r="C3" s="2" t="s">
        <v>31</v>
      </c>
      <c r="D3" s="10" t="s">
        <v>145</v>
      </c>
      <c r="E3" s="10">
        <v>500</v>
      </c>
      <c r="F3" s="11" t="str">
        <f>$D3 &amp; $E3</f>
        <v>LCD500</v>
      </c>
      <c r="G3" s="9">
        <v>485</v>
      </c>
      <c r="H3" s="4" t="s">
        <v>146</v>
      </c>
      <c r="I3" s="4"/>
      <c r="J3" s="2"/>
      <c r="K3" s="5"/>
      <c r="L3" s="5"/>
      <c r="M3" s="2"/>
      <c r="N3" s="50"/>
    </row>
    <row r="4" spans="1:14" x14ac:dyDescent="0.3">
      <c r="A4" s="49">
        <v>3</v>
      </c>
      <c r="B4" s="2" t="s">
        <v>30</v>
      </c>
      <c r="C4" s="2" t="s">
        <v>31</v>
      </c>
      <c r="D4" s="10" t="s">
        <v>34</v>
      </c>
      <c r="E4" s="10">
        <v>382</v>
      </c>
      <c r="F4" s="11" t="str">
        <f>$D4 &amp; $E4</f>
        <v>FM382</v>
      </c>
      <c r="G4" s="9">
        <v>485</v>
      </c>
      <c r="H4" s="4" t="s">
        <v>147</v>
      </c>
      <c r="I4" s="4"/>
      <c r="J4" s="2" t="s">
        <v>148</v>
      </c>
      <c r="K4" s="5"/>
      <c r="L4" s="5"/>
      <c r="M4" s="2"/>
      <c r="N4" s="50"/>
    </row>
    <row r="5" spans="1:14" x14ac:dyDescent="0.3">
      <c r="A5" s="49">
        <v>4</v>
      </c>
      <c r="B5" s="2" t="s">
        <v>30</v>
      </c>
      <c r="C5" s="2" t="s">
        <v>31</v>
      </c>
      <c r="D5" s="10"/>
      <c r="E5" s="10"/>
      <c r="F5" s="11"/>
      <c r="G5" s="9">
        <v>422</v>
      </c>
      <c r="H5" s="4" t="s">
        <v>180</v>
      </c>
      <c r="I5" s="4"/>
      <c r="J5" s="2"/>
      <c r="K5" s="5"/>
      <c r="L5" s="5"/>
      <c r="M5" s="2"/>
      <c r="N5" s="50"/>
    </row>
    <row r="6" spans="1:14" x14ac:dyDescent="0.3">
      <c r="A6" s="49"/>
      <c r="B6" s="2"/>
      <c r="C6" s="2"/>
      <c r="D6" s="10"/>
      <c r="E6" s="10"/>
      <c r="F6" s="11"/>
      <c r="G6" s="9"/>
      <c r="H6" s="4"/>
      <c r="I6" s="4"/>
      <c r="J6" s="2"/>
      <c r="K6" s="5"/>
      <c r="L6" s="5"/>
      <c r="M6" s="2"/>
      <c r="N6" s="50"/>
    </row>
    <row r="7" spans="1:14" ht="17.25" thickBot="1" x14ac:dyDescent="0.35">
      <c r="A7" s="51"/>
      <c r="B7" s="67"/>
      <c r="C7" s="67"/>
      <c r="D7" s="68"/>
      <c r="E7" s="68"/>
      <c r="F7" s="69"/>
      <c r="G7" s="70"/>
      <c r="H7" s="24"/>
      <c r="I7" s="71"/>
      <c r="J7" s="67"/>
      <c r="K7" s="72"/>
      <c r="L7" s="72"/>
      <c r="M7" s="67"/>
      <c r="N7" s="73"/>
    </row>
    <row r="8" spans="1:14" x14ac:dyDescent="0.3">
      <c r="A8" s="41">
        <v>1</v>
      </c>
      <c r="B8" s="42" t="s">
        <v>45</v>
      </c>
      <c r="C8" s="42" t="s">
        <v>25</v>
      </c>
      <c r="D8" s="42" t="s">
        <v>16</v>
      </c>
      <c r="E8" s="43">
        <v>181</v>
      </c>
      <c r="F8" s="43" t="str">
        <f t="shared" ref="F8:F19" si="0">$D8 &amp; $E8</f>
        <v>TC181</v>
      </c>
      <c r="G8" s="44" t="s">
        <v>54</v>
      </c>
      <c r="H8" s="124" t="s">
        <v>56</v>
      </c>
      <c r="I8" s="45"/>
      <c r="J8" s="189" t="s">
        <v>149</v>
      </c>
      <c r="K8" s="46"/>
      <c r="L8" s="47"/>
      <c r="M8" s="42"/>
      <c r="N8" s="48"/>
    </row>
    <row r="9" spans="1:14" x14ac:dyDescent="0.3">
      <c r="A9" s="49">
        <v>2</v>
      </c>
      <c r="B9" s="2" t="s">
        <v>45</v>
      </c>
      <c r="C9" s="2" t="s">
        <v>25</v>
      </c>
      <c r="D9" s="2" t="s">
        <v>16</v>
      </c>
      <c r="E9" s="13">
        <v>182</v>
      </c>
      <c r="F9" s="13" t="str">
        <f t="shared" si="0"/>
        <v>TC182</v>
      </c>
      <c r="G9" s="3" t="s">
        <v>54</v>
      </c>
      <c r="H9" s="122" t="s">
        <v>57</v>
      </c>
      <c r="I9" s="4"/>
      <c r="J9" s="191"/>
      <c r="K9" s="6"/>
      <c r="L9" s="5"/>
      <c r="M9" s="2"/>
      <c r="N9" s="50"/>
    </row>
    <row r="10" spans="1:14" x14ac:dyDescent="0.3">
      <c r="A10" s="49">
        <v>3</v>
      </c>
      <c r="B10" s="2" t="s">
        <v>45</v>
      </c>
      <c r="C10" s="2" t="s">
        <v>25</v>
      </c>
      <c r="D10" s="2" t="s">
        <v>16</v>
      </c>
      <c r="E10" s="22">
        <v>183</v>
      </c>
      <c r="F10" s="13" t="str">
        <f t="shared" si="0"/>
        <v>TC183</v>
      </c>
      <c r="G10" s="3" t="s">
        <v>54</v>
      </c>
      <c r="H10" s="122" t="s">
        <v>58</v>
      </c>
      <c r="I10" s="4"/>
      <c r="J10" s="191"/>
      <c r="K10" s="6"/>
      <c r="L10" s="5"/>
      <c r="M10" s="2"/>
      <c r="N10" s="50"/>
    </row>
    <row r="11" spans="1:14" x14ac:dyDescent="0.3">
      <c r="A11" s="49">
        <v>4</v>
      </c>
      <c r="B11" s="2" t="s">
        <v>45</v>
      </c>
      <c r="C11" s="2" t="s">
        <v>25</v>
      </c>
      <c r="D11" s="2" t="s">
        <v>16</v>
      </c>
      <c r="E11" s="13">
        <v>184</v>
      </c>
      <c r="F11" s="13" t="str">
        <f t="shared" si="0"/>
        <v>TC184</v>
      </c>
      <c r="G11" s="3" t="s">
        <v>54</v>
      </c>
      <c r="H11" s="122" t="s">
        <v>59</v>
      </c>
      <c r="I11" s="4"/>
      <c r="J11" s="191"/>
      <c r="K11" s="6"/>
      <c r="L11" s="5"/>
      <c r="M11" s="2"/>
      <c r="N11" s="50"/>
    </row>
    <row r="12" spans="1:14" x14ac:dyDescent="0.3">
      <c r="A12" s="49">
        <v>5</v>
      </c>
      <c r="B12" s="2" t="s">
        <v>45</v>
      </c>
      <c r="C12" s="2" t="s">
        <v>25</v>
      </c>
      <c r="D12" s="2" t="s">
        <v>16</v>
      </c>
      <c r="E12" s="22">
        <v>185</v>
      </c>
      <c r="F12" s="13" t="str">
        <f t="shared" si="0"/>
        <v>TC185</v>
      </c>
      <c r="G12" s="3" t="s">
        <v>54</v>
      </c>
      <c r="H12" s="122" t="s">
        <v>84</v>
      </c>
      <c r="I12" s="4"/>
      <c r="J12" s="191"/>
      <c r="K12" s="6"/>
      <c r="L12" s="5"/>
      <c r="M12" s="2"/>
      <c r="N12" s="50"/>
    </row>
    <row r="13" spans="1:14" x14ac:dyDescent="0.3">
      <c r="A13" s="49">
        <v>6</v>
      </c>
      <c r="B13" s="2" t="s">
        <v>45</v>
      </c>
      <c r="C13" s="2" t="s">
        <v>25</v>
      </c>
      <c r="D13" s="2" t="s">
        <v>16</v>
      </c>
      <c r="E13" s="13">
        <v>186</v>
      </c>
      <c r="F13" s="13" t="str">
        <f t="shared" si="0"/>
        <v>TC186</v>
      </c>
      <c r="G13" s="3" t="s">
        <v>54</v>
      </c>
      <c r="H13" s="122" t="s">
        <v>85</v>
      </c>
      <c r="I13" s="4"/>
      <c r="J13" s="191"/>
      <c r="K13" s="6"/>
      <c r="L13" s="5"/>
      <c r="M13" s="2"/>
      <c r="N13" s="50"/>
    </row>
    <row r="14" spans="1:14" x14ac:dyDescent="0.3">
      <c r="A14" s="49">
        <v>7</v>
      </c>
      <c r="B14" s="2" t="s">
        <v>45</v>
      </c>
      <c r="C14" s="2" t="s">
        <v>25</v>
      </c>
      <c r="D14" s="2" t="s">
        <v>16</v>
      </c>
      <c r="E14" s="22">
        <v>187</v>
      </c>
      <c r="F14" s="13" t="str">
        <f t="shared" si="0"/>
        <v>TC187</v>
      </c>
      <c r="G14" s="3" t="s">
        <v>54</v>
      </c>
      <c r="H14" s="125" t="s">
        <v>191</v>
      </c>
      <c r="I14" s="4"/>
      <c r="J14" s="191"/>
      <c r="K14" s="6"/>
      <c r="L14" s="5"/>
      <c r="M14" s="2"/>
      <c r="N14" s="50"/>
    </row>
    <row r="15" spans="1:14" x14ac:dyDescent="0.3">
      <c r="A15" s="49">
        <v>8</v>
      </c>
      <c r="B15" s="2" t="s">
        <v>45</v>
      </c>
      <c r="C15" s="2" t="s">
        <v>25</v>
      </c>
      <c r="D15" s="2" t="s">
        <v>16</v>
      </c>
      <c r="E15" s="13">
        <v>188</v>
      </c>
      <c r="F15" s="13" t="str">
        <f t="shared" si="0"/>
        <v>TC188</v>
      </c>
      <c r="G15" s="3" t="s">
        <v>54</v>
      </c>
      <c r="H15" s="122" t="s">
        <v>60</v>
      </c>
      <c r="I15" s="4"/>
      <c r="J15" s="191"/>
      <c r="K15" s="6"/>
      <c r="L15" s="5"/>
      <c r="M15" s="2"/>
      <c r="N15" s="50"/>
    </row>
    <row r="16" spans="1:14" x14ac:dyDescent="0.3">
      <c r="A16" s="49">
        <v>9</v>
      </c>
      <c r="B16" s="2" t="s">
        <v>45</v>
      </c>
      <c r="C16" s="2" t="s">
        <v>25</v>
      </c>
      <c r="D16" s="2" t="s">
        <v>25</v>
      </c>
      <c r="E16" s="22">
        <v>189</v>
      </c>
      <c r="F16" s="13" t="str">
        <f t="shared" si="0"/>
        <v>TC189</v>
      </c>
      <c r="G16" s="3" t="s">
        <v>54</v>
      </c>
      <c r="H16" s="122" t="s">
        <v>86</v>
      </c>
      <c r="I16" s="4"/>
      <c r="J16" s="191"/>
      <c r="K16" s="6"/>
      <c r="L16" s="5"/>
      <c r="M16" s="2"/>
      <c r="N16" s="50"/>
    </row>
    <row r="17" spans="1:14" x14ac:dyDescent="0.3">
      <c r="A17" s="49">
        <v>10</v>
      </c>
      <c r="B17" s="2" t="s">
        <v>45</v>
      </c>
      <c r="C17" s="2" t="s">
        <v>25</v>
      </c>
      <c r="D17" s="2" t="s">
        <v>16</v>
      </c>
      <c r="E17" s="13">
        <v>190</v>
      </c>
      <c r="F17" s="13" t="str">
        <f t="shared" si="0"/>
        <v>TC190</v>
      </c>
      <c r="G17" s="3" t="s">
        <v>54</v>
      </c>
      <c r="H17" s="122" t="s">
        <v>61</v>
      </c>
      <c r="I17" s="4"/>
      <c r="J17" s="191"/>
      <c r="K17" s="6"/>
      <c r="L17" s="5"/>
      <c r="M17" s="2"/>
      <c r="N17" s="50"/>
    </row>
    <row r="18" spans="1:14" x14ac:dyDescent="0.3">
      <c r="A18" s="49">
        <v>11</v>
      </c>
      <c r="B18" s="2" t="s">
        <v>45</v>
      </c>
      <c r="C18" s="2" t="s">
        <v>25</v>
      </c>
      <c r="D18" s="2" t="s">
        <v>16</v>
      </c>
      <c r="E18" s="22">
        <v>191</v>
      </c>
      <c r="F18" s="13" t="str">
        <f t="shared" si="0"/>
        <v>TC191</v>
      </c>
      <c r="G18" s="3" t="s">
        <v>54</v>
      </c>
      <c r="H18" s="122" t="s">
        <v>88</v>
      </c>
      <c r="I18" s="4"/>
      <c r="J18" s="191"/>
      <c r="K18" s="6"/>
      <c r="L18" s="5"/>
      <c r="M18" s="2"/>
      <c r="N18" s="50"/>
    </row>
    <row r="19" spans="1:14" x14ac:dyDescent="0.3">
      <c r="A19" s="49">
        <v>12</v>
      </c>
      <c r="B19" s="2" t="s">
        <v>45</v>
      </c>
      <c r="C19" s="2" t="s">
        <v>25</v>
      </c>
      <c r="D19" s="2" t="s">
        <v>16</v>
      </c>
      <c r="E19" s="22">
        <v>192</v>
      </c>
      <c r="F19" s="13" t="str">
        <f t="shared" si="0"/>
        <v>TC192</v>
      </c>
      <c r="G19" s="3" t="s">
        <v>54</v>
      </c>
      <c r="H19" s="122" t="s">
        <v>62</v>
      </c>
      <c r="I19" s="4"/>
      <c r="J19" s="192"/>
      <c r="K19" s="6"/>
      <c r="L19" s="5"/>
      <c r="M19" s="2"/>
      <c r="N19" s="50"/>
    </row>
    <row r="20" spans="1:14" x14ac:dyDescent="0.3">
      <c r="A20" s="49">
        <v>13</v>
      </c>
      <c r="B20" s="2" t="s">
        <v>45</v>
      </c>
      <c r="C20" s="2"/>
      <c r="D20" s="2"/>
      <c r="E20" s="22"/>
      <c r="F20" s="13"/>
      <c r="G20" s="3"/>
      <c r="H20" s="186" t="s">
        <v>100</v>
      </c>
      <c r="I20" s="4"/>
      <c r="J20" s="4"/>
      <c r="K20" s="6"/>
      <c r="L20" s="5"/>
      <c r="M20" s="2"/>
      <c r="N20" s="50"/>
    </row>
    <row r="21" spans="1:14" x14ac:dyDescent="0.3">
      <c r="A21" s="49">
        <v>14</v>
      </c>
      <c r="B21" s="2" t="s">
        <v>45</v>
      </c>
      <c r="C21" s="2"/>
      <c r="D21" s="2"/>
      <c r="E21" s="22"/>
      <c r="F21" s="13"/>
      <c r="G21" s="3"/>
      <c r="H21" s="187"/>
      <c r="I21" s="4"/>
      <c r="J21" s="4"/>
      <c r="K21" s="6"/>
      <c r="L21" s="5"/>
      <c r="M21" s="2"/>
      <c r="N21" s="50"/>
    </row>
    <row r="22" spans="1:14" ht="17.25" thickBot="1" x14ac:dyDescent="0.35">
      <c r="A22" s="51">
        <v>15</v>
      </c>
      <c r="B22" s="52" t="s">
        <v>45</v>
      </c>
      <c r="C22" s="52"/>
      <c r="D22" s="52"/>
      <c r="E22" s="53"/>
      <c r="F22" s="54"/>
      <c r="G22" s="55"/>
      <c r="H22" s="188"/>
      <c r="I22" s="57"/>
      <c r="J22" s="57"/>
      <c r="K22" s="58"/>
      <c r="L22" s="59"/>
      <c r="M22" s="52"/>
      <c r="N22" s="60"/>
    </row>
    <row r="23" spans="1:14" ht="17.25" thickBot="1" x14ac:dyDescent="0.35">
      <c r="A23" s="34"/>
      <c r="B23" s="34"/>
      <c r="C23" s="34"/>
      <c r="D23" s="34"/>
      <c r="E23" s="74"/>
      <c r="F23" s="74"/>
      <c r="G23" s="75"/>
      <c r="H23" s="76"/>
      <c r="I23" s="33"/>
      <c r="J23" s="33"/>
      <c r="K23" s="37"/>
      <c r="L23" s="38"/>
      <c r="M23" s="34"/>
      <c r="N23" s="38"/>
    </row>
    <row r="24" spans="1:14" x14ac:dyDescent="0.3">
      <c r="A24" s="41">
        <v>1</v>
      </c>
      <c r="B24" s="42" t="s">
        <v>7</v>
      </c>
      <c r="C24" s="42" t="s">
        <v>25</v>
      </c>
      <c r="D24" s="42" t="s">
        <v>16</v>
      </c>
      <c r="E24" s="43">
        <v>104</v>
      </c>
      <c r="F24" s="43" t="str">
        <f>$D24 &amp; $E24</f>
        <v>TC104</v>
      </c>
      <c r="G24" s="44" t="s">
        <v>55</v>
      </c>
      <c r="H24" s="116" t="s">
        <v>36</v>
      </c>
      <c r="I24" s="45"/>
      <c r="J24" s="189" t="s">
        <v>150</v>
      </c>
      <c r="K24" s="46"/>
      <c r="L24" s="47"/>
      <c r="M24" s="42"/>
      <c r="N24" s="48"/>
    </row>
    <row r="25" spans="1:14" x14ac:dyDescent="0.3">
      <c r="A25" s="49">
        <v>2</v>
      </c>
      <c r="B25" s="2" t="s">
        <v>7</v>
      </c>
      <c r="C25" s="2" t="s">
        <v>25</v>
      </c>
      <c r="D25" s="2" t="s">
        <v>16</v>
      </c>
      <c r="E25" s="13">
        <v>115</v>
      </c>
      <c r="F25" s="13" t="str">
        <f t="shared" ref="F25:F42" si="1">$D25 &amp; $E25</f>
        <v>TC115</v>
      </c>
      <c r="G25" s="3" t="s">
        <v>55</v>
      </c>
      <c r="H25" s="119" t="s">
        <v>37</v>
      </c>
      <c r="I25" s="4"/>
      <c r="J25" s="191"/>
      <c r="K25" s="6"/>
      <c r="L25" s="5"/>
      <c r="M25" s="2"/>
      <c r="N25" s="50"/>
    </row>
    <row r="26" spans="1:14" x14ac:dyDescent="0.3">
      <c r="A26" s="49">
        <v>3</v>
      </c>
      <c r="B26" s="2" t="s">
        <v>7</v>
      </c>
      <c r="C26" s="2" t="s">
        <v>25</v>
      </c>
      <c r="D26" s="2" t="s">
        <v>25</v>
      </c>
      <c r="E26" s="13">
        <v>133</v>
      </c>
      <c r="F26" s="13" t="str">
        <f t="shared" si="1"/>
        <v>TC133</v>
      </c>
      <c r="G26" s="3" t="s">
        <v>55</v>
      </c>
      <c r="H26" s="119" t="s">
        <v>151</v>
      </c>
      <c r="I26" s="4"/>
      <c r="J26" s="191"/>
      <c r="K26" s="6"/>
      <c r="L26" s="5"/>
      <c r="M26" s="2"/>
      <c r="N26" s="50"/>
    </row>
    <row r="27" spans="1:14" x14ac:dyDescent="0.3">
      <c r="A27" s="49">
        <v>4</v>
      </c>
      <c r="B27" s="2" t="s">
        <v>7</v>
      </c>
      <c r="C27" s="2" t="s">
        <v>25</v>
      </c>
      <c r="D27" s="2" t="s">
        <v>25</v>
      </c>
      <c r="E27" s="13">
        <v>147</v>
      </c>
      <c r="F27" s="13" t="str">
        <f t="shared" si="1"/>
        <v>TC147</v>
      </c>
      <c r="G27" s="3" t="s">
        <v>55</v>
      </c>
      <c r="H27" s="119" t="s">
        <v>152</v>
      </c>
      <c r="I27" s="4"/>
      <c r="J27" s="191"/>
      <c r="K27" s="6"/>
      <c r="L27" s="5"/>
      <c r="M27" s="2"/>
      <c r="N27" s="50"/>
    </row>
    <row r="28" spans="1:14" x14ac:dyDescent="0.3">
      <c r="A28" s="49">
        <v>5</v>
      </c>
      <c r="B28" s="2" t="s">
        <v>7</v>
      </c>
      <c r="C28" s="2" t="s">
        <v>25</v>
      </c>
      <c r="D28" s="2" t="s">
        <v>25</v>
      </c>
      <c r="E28" s="13">
        <v>157</v>
      </c>
      <c r="F28" s="13" t="str">
        <f t="shared" si="1"/>
        <v>TC157</v>
      </c>
      <c r="G28" s="3" t="s">
        <v>55</v>
      </c>
      <c r="H28" s="119" t="s">
        <v>53</v>
      </c>
      <c r="I28" s="4"/>
      <c r="J28" s="191"/>
      <c r="K28" s="6"/>
      <c r="L28" s="5"/>
      <c r="M28" s="2"/>
      <c r="N28" s="50"/>
    </row>
    <row r="29" spans="1:14" x14ac:dyDescent="0.3">
      <c r="A29" s="49">
        <v>6</v>
      </c>
      <c r="B29" s="2" t="s">
        <v>7</v>
      </c>
      <c r="C29" s="2" t="s">
        <v>25</v>
      </c>
      <c r="D29" s="2" t="s">
        <v>25</v>
      </c>
      <c r="E29" s="13">
        <v>162</v>
      </c>
      <c r="F29" s="13" t="str">
        <f t="shared" si="1"/>
        <v>TC162</v>
      </c>
      <c r="G29" s="3" t="s">
        <v>55</v>
      </c>
      <c r="H29" s="122" t="s">
        <v>63</v>
      </c>
      <c r="I29" s="4"/>
      <c r="J29" s="191"/>
      <c r="K29" s="6"/>
      <c r="L29" s="5"/>
      <c r="M29" s="2"/>
      <c r="N29" s="50"/>
    </row>
    <row r="30" spans="1:14" x14ac:dyDescent="0.3">
      <c r="A30" s="49">
        <v>7</v>
      </c>
      <c r="B30" s="2" t="s">
        <v>7</v>
      </c>
      <c r="C30" s="2" t="s">
        <v>25</v>
      </c>
      <c r="D30" s="2" t="s">
        <v>25</v>
      </c>
      <c r="E30" s="13">
        <v>214</v>
      </c>
      <c r="F30" s="13" t="str">
        <f t="shared" si="1"/>
        <v>TC214</v>
      </c>
      <c r="G30" s="3" t="s">
        <v>55</v>
      </c>
      <c r="H30" s="122" t="s">
        <v>64</v>
      </c>
      <c r="I30" s="4"/>
      <c r="J30" s="191"/>
      <c r="K30" s="6"/>
      <c r="L30" s="5"/>
      <c r="M30" s="2"/>
      <c r="N30" s="50"/>
    </row>
    <row r="31" spans="1:14" x14ac:dyDescent="0.3">
      <c r="A31" s="49">
        <v>8</v>
      </c>
      <c r="B31" s="2" t="s">
        <v>7</v>
      </c>
      <c r="C31" s="2" t="s">
        <v>25</v>
      </c>
      <c r="D31" s="2" t="s">
        <v>25</v>
      </c>
      <c r="E31" s="2">
        <v>215</v>
      </c>
      <c r="F31" s="13" t="str">
        <f t="shared" si="1"/>
        <v>TC215</v>
      </c>
      <c r="G31" s="3" t="s">
        <v>55</v>
      </c>
      <c r="H31" s="123" t="s">
        <v>112</v>
      </c>
      <c r="I31" s="4"/>
      <c r="J31" s="191"/>
      <c r="K31" s="6"/>
      <c r="L31" s="5"/>
      <c r="M31" s="2"/>
      <c r="N31" s="50"/>
    </row>
    <row r="32" spans="1:14" x14ac:dyDescent="0.3">
      <c r="A32" s="49">
        <v>9</v>
      </c>
      <c r="B32" s="2" t="s">
        <v>7</v>
      </c>
      <c r="C32" s="2" t="s">
        <v>25</v>
      </c>
      <c r="D32" s="2" t="s">
        <v>16</v>
      </c>
      <c r="E32" s="13">
        <v>312</v>
      </c>
      <c r="F32" s="13" t="str">
        <f t="shared" si="1"/>
        <v>TC312</v>
      </c>
      <c r="G32" s="3" t="s">
        <v>55</v>
      </c>
      <c r="H32" s="119" t="s">
        <v>113</v>
      </c>
      <c r="I32" s="4"/>
      <c r="J32" s="191"/>
      <c r="K32" s="6"/>
      <c r="L32" s="5"/>
      <c r="M32" s="2"/>
      <c r="N32" s="50"/>
    </row>
    <row r="33" spans="1:14" x14ac:dyDescent="0.3">
      <c r="A33" s="49">
        <v>10</v>
      </c>
      <c r="B33" s="2" t="s">
        <v>7</v>
      </c>
      <c r="C33" s="2" t="s">
        <v>25</v>
      </c>
      <c r="D33" s="2" t="s">
        <v>16</v>
      </c>
      <c r="E33" s="13">
        <v>316</v>
      </c>
      <c r="F33" s="13" t="str">
        <f t="shared" si="1"/>
        <v>TC316</v>
      </c>
      <c r="G33" s="3" t="s">
        <v>55</v>
      </c>
      <c r="H33" s="119" t="s">
        <v>154</v>
      </c>
      <c r="I33" s="4"/>
      <c r="J33" s="191"/>
      <c r="K33" s="6"/>
      <c r="L33" s="5"/>
      <c r="M33" s="2"/>
      <c r="N33" s="50"/>
    </row>
    <row r="34" spans="1:14" x14ac:dyDescent="0.3">
      <c r="A34" s="49">
        <v>11</v>
      </c>
      <c r="B34" s="2" t="s">
        <v>7</v>
      </c>
      <c r="C34" s="2" t="s">
        <v>25</v>
      </c>
      <c r="D34" s="2" t="s">
        <v>16</v>
      </c>
      <c r="E34" s="13">
        <v>322</v>
      </c>
      <c r="F34" s="13" t="str">
        <f t="shared" si="1"/>
        <v>TC322</v>
      </c>
      <c r="G34" s="3" t="s">
        <v>55</v>
      </c>
      <c r="H34" s="119" t="s">
        <v>114</v>
      </c>
      <c r="I34" s="4"/>
      <c r="J34" s="191"/>
      <c r="K34" s="6"/>
      <c r="L34" s="5"/>
      <c r="M34" s="2"/>
      <c r="N34" s="50"/>
    </row>
    <row r="35" spans="1:14" x14ac:dyDescent="0.3">
      <c r="A35" s="49">
        <v>12</v>
      </c>
      <c r="B35" s="2" t="s">
        <v>7</v>
      </c>
      <c r="C35" s="2" t="s">
        <v>25</v>
      </c>
      <c r="D35" s="2" t="s">
        <v>16</v>
      </c>
      <c r="E35" s="13">
        <v>343</v>
      </c>
      <c r="F35" s="13" t="str">
        <f t="shared" si="1"/>
        <v>TC343</v>
      </c>
      <c r="G35" s="3" t="s">
        <v>55</v>
      </c>
      <c r="H35" s="119" t="s">
        <v>118</v>
      </c>
      <c r="I35" s="4"/>
      <c r="J35" s="191"/>
      <c r="K35" s="6"/>
      <c r="L35" s="5"/>
      <c r="M35" s="2"/>
      <c r="N35" s="50"/>
    </row>
    <row r="36" spans="1:14" x14ac:dyDescent="0.3">
      <c r="A36" s="49">
        <v>13</v>
      </c>
      <c r="B36" s="2" t="s">
        <v>7</v>
      </c>
      <c r="C36" s="2" t="s">
        <v>25</v>
      </c>
      <c r="D36" s="2" t="s">
        <v>16</v>
      </c>
      <c r="E36" s="13">
        <v>344</v>
      </c>
      <c r="F36" s="13" t="str">
        <f t="shared" si="1"/>
        <v>TC344</v>
      </c>
      <c r="G36" s="3" t="s">
        <v>55</v>
      </c>
      <c r="H36" s="119" t="s">
        <v>119</v>
      </c>
      <c r="I36" s="4"/>
      <c r="J36" s="191"/>
      <c r="K36" s="6"/>
      <c r="L36" s="5"/>
      <c r="M36" s="2"/>
      <c r="N36" s="50"/>
    </row>
    <row r="37" spans="1:14" x14ac:dyDescent="0.3">
      <c r="A37" s="49">
        <v>14</v>
      </c>
      <c r="B37" s="2" t="s">
        <v>7</v>
      </c>
      <c r="C37" s="2" t="s">
        <v>25</v>
      </c>
      <c r="D37" s="2" t="s">
        <v>16</v>
      </c>
      <c r="E37" s="13">
        <v>353</v>
      </c>
      <c r="F37" s="13" t="str">
        <f t="shared" si="1"/>
        <v>TC353</v>
      </c>
      <c r="G37" s="3" t="s">
        <v>55</v>
      </c>
      <c r="H37" s="119" t="s">
        <v>115</v>
      </c>
      <c r="I37" s="4"/>
      <c r="J37" s="191"/>
      <c r="K37" s="6"/>
      <c r="L37" s="5"/>
      <c r="M37" s="2"/>
      <c r="N37" s="50"/>
    </row>
    <row r="38" spans="1:14" x14ac:dyDescent="0.3">
      <c r="A38" s="49">
        <v>15</v>
      </c>
      <c r="B38" s="2" t="s">
        <v>7</v>
      </c>
      <c r="C38" s="2" t="s">
        <v>25</v>
      </c>
      <c r="D38" s="2" t="s">
        <v>16</v>
      </c>
      <c r="E38" s="13">
        <v>372</v>
      </c>
      <c r="F38" s="13" t="str">
        <f t="shared" si="1"/>
        <v>TC372</v>
      </c>
      <c r="G38" s="3" t="s">
        <v>55</v>
      </c>
      <c r="H38" s="119" t="s">
        <v>97</v>
      </c>
      <c r="I38" s="4"/>
      <c r="J38" s="191"/>
      <c r="K38" s="6"/>
      <c r="L38" s="5"/>
      <c r="M38" s="2"/>
      <c r="N38" s="50"/>
    </row>
    <row r="39" spans="1:14" x14ac:dyDescent="0.3">
      <c r="A39" s="49">
        <v>16</v>
      </c>
      <c r="B39" s="2" t="s">
        <v>7</v>
      </c>
      <c r="C39" s="2" t="s">
        <v>25</v>
      </c>
      <c r="D39" s="2" t="s">
        <v>25</v>
      </c>
      <c r="E39" s="13">
        <v>377</v>
      </c>
      <c r="F39" s="13" t="str">
        <f t="shared" si="1"/>
        <v>TC377</v>
      </c>
      <c r="G39" s="3" t="s">
        <v>55</v>
      </c>
      <c r="H39" s="119" t="s">
        <v>98</v>
      </c>
      <c r="I39" s="4"/>
      <c r="J39" s="191"/>
      <c r="K39" s="6"/>
      <c r="L39" s="5"/>
      <c r="M39" s="2"/>
      <c r="N39" s="50"/>
    </row>
    <row r="40" spans="1:14" x14ac:dyDescent="0.3">
      <c r="A40" s="49">
        <v>17</v>
      </c>
      <c r="B40" s="2" t="s">
        <v>7</v>
      </c>
      <c r="C40" s="2" t="s">
        <v>25</v>
      </c>
      <c r="D40" s="2" t="s">
        <v>16</v>
      </c>
      <c r="E40" s="13">
        <v>392</v>
      </c>
      <c r="F40" s="13" t="str">
        <f t="shared" si="1"/>
        <v>TC392</v>
      </c>
      <c r="G40" s="3" t="s">
        <v>55</v>
      </c>
      <c r="H40" s="119" t="s">
        <v>116</v>
      </c>
      <c r="I40" s="4"/>
      <c r="J40" s="191"/>
      <c r="K40" s="6"/>
      <c r="L40" s="5"/>
      <c r="M40" s="2"/>
      <c r="N40" s="50"/>
    </row>
    <row r="41" spans="1:14" x14ac:dyDescent="0.3">
      <c r="A41" s="49">
        <v>18</v>
      </c>
      <c r="B41" s="2" t="s">
        <v>7</v>
      </c>
      <c r="C41" s="2" t="s">
        <v>25</v>
      </c>
      <c r="D41" s="2" t="s">
        <v>16</v>
      </c>
      <c r="E41" s="13">
        <v>393</v>
      </c>
      <c r="F41" s="13" t="str">
        <f t="shared" si="1"/>
        <v>TC393</v>
      </c>
      <c r="G41" s="3" t="s">
        <v>55</v>
      </c>
      <c r="H41" s="119" t="s">
        <v>117</v>
      </c>
      <c r="I41" s="4"/>
      <c r="J41" s="191"/>
      <c r="K41" s="6"/>
      <c r="L41" s="5"/>
      <c r="M41" s="2"/>
      <c r="N41" s="50"/>
    </row>
    <row r="42" spans="1:14" x14ac:dyDescent="0.3">
      <c r="A42" s="49">
        <v>19</v>
      </c>
      <c r="B42" s="2" t="s">
        <v>7</v>
      </c>
      <c r="C42" s="2" t="s">
        <v>25</v>
      </c>
      <c r="D42" s="2" t="s">
        <v>16</v>
      </c>
      <c r="E42" s="13">
        <v>507</v>
      </c>
      <c r="F42" s="13" t="str">
        <f t="shared" si="1"/>
        <v>TC507</v>
      </c>
      <c r="G42" s="3" t="s">
        <v>55</v>
      </c>
      <c r="H42" s="119" t="s">
        <v>153</v>
      </c>
      <c r="I42" s="4"/>
      <c r="J42" s="192"/>
      <c r="K42" s="6"/>
      <c r="L42" s="5"/>
      <c r="M42" s="2"/>
      <c r="N42" s="50"/>
    </row>
    <row r="43" spans="1:14" x14ac:dyDescent="0.3">
      <c r="A43" s="49">
        <v>20</v>
      </c>
      <c r="B43" s="2" t="s">
        <v>7</v>
      </c>
      <c r="C43" s="21"/>
      <c r="D43" s="21"/>
      <c r="E43" s="22"/>
      <c r="F43" s="22"/>
      <c r="G43" s="23"/>
      <c r="H43" s="186" t="s">
        <v>99</v>
      </c>
      <c r="I43" s="24"/>
      <c r="J43" s="4"/>
      <c r="K43" s="25"/>
      <c r="L43" s="26"/>
      <c r="M43" s="21"/>
      <c r="N43" s="77"/>
    </row>
    <row r="44" spans="1:14" x14ac:dyDescent="0.3">
      <c r="A44" s="49">
        <v>21</v>
      </c>
      <c r="B44" s="2" t="s">
        <v>7</v>
      </c>
      <c r="C44" s="21"/>
      <c r="D44" s="21"/>
      <c r="E44" s="22"/>
      <c r="F44" s="22"/>
      <c r="G44" s="23"/>
      <c r="H44" s="187"/>
      <c r="I44" s="24"/>
      <c r="J44" s="4"/>
      <c r="K44" s="25"/>
      <c r="L44" s="26"/>
      <c r="M44" s="21"/>
      <c r="N44" s="77"/>
    </row>
    <row r="45" spans="1:14" x14ac:dyDescent="0.3">
      <c r="A45" s="49">
        <v>22</v>
      </c>
      <c r="B45" s="2" t="s">
        <v>7</v>
      </c>
      <c r="C45" s="21"/>
      <c r="D45" s="21"/>
      <c r="E45" s="22"/>
      <c r="F45" s="22"/>
      <c r="G45" s="23"/>
      <c r="H45" s="187"/>
      <c r="I45" s="24"/>
      <c r="J45" s="4"/>
      <c r="K45" s="25"/>
      <c r="L45" s="26"/>
      <c r="M45" s="21"/>
      <c r="N45" s="77"/>
    </row>
    <row r="46" spans="1:14" x14ac:dyDescent="0.3">
      <c r="A46" s="49">
        <v>23</v>
      </c>
      <c r="B46" s="2" t="s">
        <v>7</v>
      </c>
      <c r="C46" s="21"/>
      <c r="D46" s="21"/>
      <c r="E46" s="22"/>
      <c r="F46" s="22"/>
      <c r="G46" s="23"/>
      <c r="H46" s="187"/>
      <c r="I46" s="24"/>
      <c r="J46" s="4"/>
      <c r="K46" s="25"/>
      <c r="L46" s="26"/>
      <c r="M46" s="21"/>
      <c r="N46" s="77"/>
    </row>
    <row r="47" spans="1:14" x14ac:dyDescent="0.3">
      <c r="A47" s="49">
        <v>24</v>
      </c>
      <c r="B47" s="2" t="s">
        <v>7</v>
      </c>
      <c r="C47" s="21"/>
      <c r="D47" s="21"/>
      <c r="E47" s="22"/>
      <c r="F47" s="22"/>
      <c r="G47" s="23"/>
      <c r="H47" s="187"/>
      <c r="I47" s="24"/>
      <c r="J47" s="4"/>
      <c r="K47" s="25"/>
      <c r="L47" s="26"/>
      <c r="M47" s="21"/>
      <c r="N47" s="77"/>
    </row>
    <row r="48" spans="1:14" ht="17.25" thickBot="1" x14ac:dyDescent="0.35">
      <c r="A48" s="51">
        <v>25</v>
      </c>
      <c r="B48" s="52" t="s">
        <v>7</v>
      </c>
      <c r="C48" s="67"/>
      <c r="D48" s="67"/>
      <c r="E48" s="53"/>
      <c r="F48" s="53"/>
      <c r="G48" s="78"/>
      <c r="H48" s="188"/>
      <c r="I48" s="71"/>
      <c r="J48" s="57"/>
      <c r="K48" s="79"/>
      <c r="L48" s="72"/>
      <c r="M48" s="67"/>
      <c r="N48" s="73"/>
    </row>
    <row r="49" spans="1:14" ht="17.25" thickBot="1" x14ac:dyDescent="0.35">
      <c r="A49" s="51"/>
      <c r="B49" s="67"/>
      <c r="C49" s="67"/>
      <c r="D49" s="67"/>
      <c r="E49" s="80"/>
      <c r="F49" s="80"/>
      <c r="G49" s="55"/>
      <c r="H49" s="80"/>
      <c r="I49" s="71"/>
      <c r="J49" s="82"/>
      <c r="K49" s="79"/>
      <c r="L49" s="72"/>
      <c r="M49" s="67"/>
      <c r="N49" s="73"/>
    </row>
    <row r="50" spans="1:14" x14ac:dyDescent="0.3">
      <c r="A50" s="49">
        <v>1</v>
      </c>
      <c r="B50" s="21" t="s">
        <v>0</v>
      </c>
      <c r="C50" s="21" t="s">
        <v>27</v>
      </c>
      <c r="D50" s="21" t="s">
        <v>20</v>
      </c>
      <c r="E50" s="28">
        <v>105</v>
      </c>
      <c r="F50" s="28" t="str">
        <f>$D50 &amp; $E50</f>
        <v>PT105</v>
      </c>
      <c r="G50" s="23"/>
      <c r="H50" s="113" t="s">
        <v>78</v>
      </c>
      <c r="I50" s="24"/>
      <c r="J50" s="17" t="s">
        <v>183</v>
      </c>
      <c r="K50" s="25" t="s">
        <v>79</v>
      </c>
      <c r="L50" s="26" t="s">
        <v>38</v>
      </c>
      <c r="M50" s="21" t="s">
        <v>157</v>
      </c>
      <c r="N50" s="77" t="s">
        <v>3</v>
      </c>
    </row>
    <row r="51" spans="1:14" x14ac:dyDescent="0.3">
      <c r="A51" s="49">
        <v>2</v>
      </c>
      <c r="B51" s="2" t="s">
        <v>0</v>
      </c>
      <c r="C51" s="2" t="s">
        <v>27</v>
      </c>
      <c r="D51" s="15" t="s">
        <v>20</v>
      </c>
      <c r="E51" s="14">
        <v>109</v>
      </c>
      <c r="F51" s="14" t="str">
        <f t="shared" ref="F51:F63" si="2">$D51 &amp; $E51</f>
        <v>PT109</v>
      </c>
      <c r="G51" s="3"/>
      <c r="H51" s="114" t="s">
        <v>80</v>
      </c>
      <c r="I51" s="4"/>
      <c r="J51" s="17" t="s">
        <v>90</v>
      </c>
      <c r="K51" s="6" t="s">
        <v>70</v>
      </c>
      <c r="L51" s="5" t="s">
        <v>38</v>
      </c>
      <c r="M51" s="21" t="s">
        <v>89</v>
      </c>
      <c r="N51" s="50" t="s">
        <v>3</v>
      </c>
    </row>
    <row r="52" spans="1:14" x14ac:dyDescent="0.3">
      <c r="A52" s="49">
        <v>3</v>
      </c>
      <c r="B52" s="2" t="s">
        <v>0</v>
      </c>
      <c r="C52" s="2" t="s">
        <v>27</v>
      </c>
      <c r="D52" s="15" t="s">
        <v>20</v>
      </c>
      <c r="E52" s="14">
        <v>113</v>
      </c>
      <c r="F52" s="14" t="str">
        <f t="shared" si="2"/>
        <v>PT113</v>
      </c>
      <c r="G52" s="3"/>
      <c r="H52" s="114" t="s">
        <v>65</v>
      </c>
      <c r="I52" s="4"/>
      <c r="J52" s="17" t="s">
        <v>90</v>
      </c>
      <c r="K52" s="6" t="s">
        <v>70</v>
      </c>
      <c r="L52" s="5" t="s">
        <v>38</v>
      </c>
      <c r="M52" s="21" t="s">
        <v>89</v>
      </c>
      <c r="N52" s="50" t="s">
        <v>3</v>
      </c>
    </row>
    <row r="53" spans="1:14" x14ac:dyDescent="0.3">
      <c r="A53" s="49">
        <v>4</v>
      </c>
      <c r="B53" s="2" t="s">
        <v>0</v>
      </c>
      <c r="C53" s="2" t="s">
        <v>27</v>
      </c>
      <c r="D53" s="15" t="s">
        <v>20</v>
      </c>
      <c r="E53" s="14">
        <v>123</v>
      </c>
      <c r="F53" s="14" t="str">
        <f t="shared" si="2"/>
        <v>PT123</v>
      </c>
      <c r="G53" s="3"/>
      <c r="H53" s="114" t="s">
        <v>66</v>
      </c>
      <c r="I53" s="4"/>
      <c r="J53" s="17" t="s">
        <v>90</v>
      </c>
      <c r="K53" s="6" t="s">
        <v>70</v>
      </c>
      <c r="L53" s="5" t="s">
        <v>38</v>
      </c>
      <c r="M53" s="21" t="s">
        <v>89</v>
      </c>
      <c r="N53" s="50" t="s">
        <v>3</v>
      </c>
    </row>
    <row r="54" spans="1:14" x14ac:dyDescent="0.3">
      <c r="A54" s="49">
        <v>5</v>
      </c>
      <c r="B54" s="2" t="s">
        <v>0</v>
      </c>
      <c r="C54" s="2" t="s">
        <v>27</v>
      </c>
      <c r="D54" s="2" t="s">
        <v>20</v>
      </c>
      <c r="E54" s="14">
        <v>146</v>
      </c>
      <c r="F54" s="14" t="str">
        <f t="shared" si="2"/>
        <v>PT146</v>
      </c>
      <c r="G54" s="3"/>
      <c r="H54" s="115" t="s">
        <v>101</v>
      </c>
      <c r="I54" s="4"/>
      <c r="J54" s="17" t="s">
        <v>183</v>
      </c>
      <c r="K54" s="6" t="s">
        <v>70</v>
      </c>
      <c r="L54" s="5" t="s">
        <v>38</v>
      </c>
      <c r="M54" s="21" t="s">
        <v>157</v>
      </c>
      <c r="N54" s="50" t="s">
        <v>3</v>
      </c>
    </row>
    <row r="55" spans="1:14" x14ac:dyDescent="0.3">
      <c r="A55" s="49">
        <v>6</v>
      </c>
      <c r="B55" s="2" t="s">
        <v>0</v>
      </c>
      <c r="C55" s="2" t="s">
        <v>27</v>
      </c>
      <c r="D55" s="15" t="s">
        <v>20</v>
      </c>
      <c r="E55" s="14">
        <v>163</v>
      </c>
      <c r="F55" s="14" t="str">
        <f>$D55 &amp; $E55</f>
        <v>PT163</v>
      </c>
      <c r="G55" s="3"/>
      <c r="H55" s="114" t="s">
        <v>67</v>
      </c>
      <c r="I55" s="4"/>
      <c r="J55" s="17" t="s">
        <v>90</v>
      </c>
      <c r="K55" s="6" t="s">
        <v>70</v>
      </c>
      <c r="L55" s="5" t="s">
        <v>38</v>
      </c>
      <c r="M55" s="21" t="s">
        <v>89</v>
      </c>
      <c r="N55" s="50" t="s">
        <v>3</v>
      </c>
    </row>
    <row r="56" spans="1:14" x14ac:dyDescent="0.3">
      <c r="A56" s="49">
        <v>7</v>
      </c>
      <c r="B56" s="2" t="s">
        <v>0</v>
      </c>
      <c r="C56" s="2" t="s">
        <v>27</v>
      </c>
      <c r="D56" s="2" t="s">
        <v>20</v>
      </c>
      <c r="E56" s="14">
        <v>383</v>
      </c>
      <c r="F56" s="14" t="str">
        <f t="shared" si="2"/>
        <v>PT383</v>
      </c>
      <c r="G56" s="3"/>
      <c r="H56" s="114" t="s">
        <v>102</v>
      </c>
      <c r="I56" s="4"/>
      <c r="J56" s="17" t="s">
        <v>91</v>
      </c>
      <c r="K56" s="6" t="s">
        <v>77</v>
      </c>
      <c r="L56" s="5" t="s">
        <v>38</v>
      </c>
      <c r="M56" s="21" t="s">
        <v>89</v>
      </c>
      <c r="N56" s="50" t="s">
        <v>3</v>
      </c>
    </row>
    <row r="57" spans="1:14" x14ac:dyDescent="0.3">
      <c r="A57" s="49">
        <v>8</v>
      </c>
      <c r="B57" s="2" t="s">
        <v>0</v>
      </c>
      <c r="C57" s="2" t="s">
        <v>27</v>
      </c>
      <c r="D57" s="2" t="s">
        <v>19</v>
      </c>
      <c r="E57" s="14">
        <v>324</v>
      </c>
      <c r="F57" s="14" t="str">
        <f t="shared" si="2"/>
        <v>CS324</v>
      </c>
      <c r="G57" s="3"/>
      <c r="H57" s="115" t="s">
        <v>156</v>
      </c>
      <c r="I57" s="4"/>
      <c r="J57" s="17" t="s">
        <v>92</v>
      </c>
      <c r="K57" s="6" t="s">
        <v>95</v>
      </c>
      <c r="L57" s="5" t="s">
        <v>71</v>
      </c>
      <c r="M57" s="21" t="s">
        <v>157</v>
      </c>
      <c r="N57" s="50" t="s">
        <v>3</v>
      </c>
    </row>
    <row r="58" spans="1:14" x14ac:dyDescent="0.3">
      <c r="A58" s="49">
        <v>9</v>
      </c>
      <c r="B58" s="2" t="s">
        <v>0</v>
      </c>
      <c r="C58" s="2" t="s">
        <v>158</v>
      </c>
      <c r="D58" s="2" t="s">
        <v>21</v>
      </c>
      <c r="E58" s="14">
        <v>111</v>
      </c>
      <c r="F58" s="14" t="str">
        <f t="shared" si="2"/>
        <v>MFC111</v>
      </c>
      <c r="G58" s="3"/>
      <c r="H58" s="115" t="s">
        <v>159</v>
      </c>
      <c r="I58" s="4"/>
      <c r="J58" s="17" t="s">
        <v>160</v>
      </c>
      <c r="K58" s="6" t="s">
        <v>161</v>
      </c>
      <c r="L58" s="5" t="s">
        <v>39</v>
      </c>
      <c r="M58" s="21"/>
      <c r="N58" s="50"/>
    </row>
    <row r="59" spans="1:14" x14ac:dyDescent="0.3">
      <c r="A59" s="49">
        <v>10</v>
      </c>
      <c r="B59" s="2" t="s">
        <v>0</v>
      </c>
      <c r="C59" s="2" t="s">
        <v>158</v>
      </c>
      <c r="D59" s="2" t="s">
        <v>21</v>
      </c>
      <c r="E59" s="14">
        <v>121</v>
      </c>
      <c r="F59" s="14" t="str">
        <f t="shared" si="2"/>
        <v>MFC121</v>
      </c>
      <c r="G59" s="3"/>
      <c r="H59" s="115" t="s">
        <v>162</v>
      </c>
      <c r="I59" s="4"/>
      <c r="J59" s="17" t="s">
        <v>185</v>
      </c>
      <c r="K59" s="6" t="s">
        <v>186</v>
      </c>
      <c r="L59" s="5" t="s">
        <v>39</v>
      </c>
      <c r="M59" s="21"/>
      <c r="N59" s="50"/>
    </row>
    <row r="60" spans="1:14" x14ac:dyDescent="0.3">
      <c r="A60" s="49">
        <v>11</v>
      </c>
      <c r="B60" s="2" t="s">
        <v>0</v>
      </c>
      <c r="C60" s="2" t="s">
        <v>27</v>
      </c>
      <c r="D60" s="2" t="s">
        <v>104</v>
      </c>
      <c r="E60" s="14">
        <v>211</v>
      </c>
      <c r="F60" s="14" t="str">
        <f t="shared" si="2"/>
        <v>MFM211</v>
      </c>
      <c r="G60" s="3"/>
      <c r="H60" s="114" t="s">
        <v>103</v>
      </c>
      <c r="I60" s="4"/>
      <c r="J60" s="17" t="s">
        <v>93</v>
      </c>
      <c r="K60" s="19" t="s">
        <v>190</v>
      </c>
      <c r="L60" s="5" t="s">
        <v>39</v>
      </c>
      <c r="M60" s="21" t="s">
        <v>89</v>
      </c>
      <c r="N60" s="50" t="s">
        <v>3</v>
      </c>
    </row>
    <row r="61" spans="1:14" x14ac:dyDescent="0.3">
      <c r="A61" s="49">
        <v>12</v>
      </c>
      <c r="B61" s="2" t="s">
        <v>0</v>
      </c>
      <c r="C61" s="2" t="s">
        <v>27</v>
      </c>
      <c r="D61" s="15" t="s">
        <v>104</v>
      </c>
      <c r="E61" s="14">
        <v>222</v>
      </c>
      <c r="F61" s="14" t="str">
        <f t="shared" si="2"/>
        <v>MFM222</v>
      </c>
      <c r="G61" s="3"/>
      <c r="H61" s="115" t="s">
        <v>69</v>
      </c>
      <c r="I61" s="4"/>
      <c r="J61" s="17" t="s">
        <v>93</v>
      </c>
      <c r="K61" s="6" t="s">
        <v>96</v>
      </c>
      <c r="L61" s="5" t="s">
        <v>39</v>
      </c>
      <c r="M61" s="21" t="s">
        <v>89</v>
      </c>
      <c r="N61" s="50" t="s">
        <v>3</v>
      </c>
    </row>
    <row r="62" spans="1:14" x14ac:dyDescent="0.3">
      <c r="A62" s="49">
        <v>13</v>
      </c>
      <c r="B62" s="2" t="s">
        <v>0</v>
      </c>
      <c r="C62" s="2" t="s">
        <v>27</v>
      </c>
      <c r="D62" s="15" t="s">
        <v>104</v>
      </c>
      <c r="E62" s="14">
        <v>231</v>
      </c>
      <c r="F62" s="14" t="str">
        <f t="shared" si="2"/>
        <v>MFM231</v>
      </c>
      <c r="G62" s="3"/>
      <c r="H62" s="114" t="s">
        <v>68</v>
      </c>
      <c r="I62" s="4"/>
      <c r="J62" s="17" t="s">
        <v>94</v>
      </c>
      <c r="K62" s="6" t="s">
        <v>79</v>
      </c>
      <c r="L62" s="5" t="s">
        <v>39</v>
      </c>
      <c r="M62" s="21" t="s">
        <v>89</v>
      </c>
      <c r="N62" s="50" t="s">
        <v>3</v>
      </c>
    </row>
    <row r="63" spans="1:14" x14ac:dyDescent="0.3">
      <c r="A63" s="49">
        <v>14</v>
      </c>
      <c r="B63" s="2" t="s">
        <v>0</v>
      </c>
      <c r="C63" s="2" t="s">
        <v>27</v>
      </c>
      <c r="D63" s="15" t="s">
        <v>34</v>
      </c>
      <c r="E63" s="14">
        <v>315</v>
      </c>
      <c r="F63" s="14" t="str">
        <f t="shared" si="2"/>
        <v>FM315</v>
      </c>
      <c r="G63" s="3"/>
      <c r="H63" s="115" t="s">
        <v>163</v>
      </c>
      <c r="I63" s="4"/>
      <c r="J63" s="17" t="s">
        <v>106</v>
      </c>
      <c r="K63" s="6" t="s">
        <v>105</v>
      </c>
      <c r="L63" s="5" t="s">
        <v>39</v>
      </c>
      <c r="M63" s="21" t="s">
        <v>164</v>
      </c>
      <c r="N63" s="50" t="s">
        <v>3</v>
      </c>
    </row>
    <row r="64" spans="1:14" x14ac:dyDescent="0.3">
      <c r="A64" s="49">
        <v>15</v>
      </c>
      <c r="B64" s="21"/>
      <c r="C64" s="21"/>
      <c r="D64" s="21"/>
      <c r="E64" s="28"/>
      <c r="F64" s="28"/>
      <c r="G64" s="3"/>
      <c r="H64" s="194" t="s">
        <v>125</v>
      </c>
      <c r="I64" s="24"/>
      <c r="J64" s="40"/>
      <c r="K64" s="25"/>
      <c r="L64" s="26"/>
      <c r="M64" s="21"/>
      <c r="N64" s="77"/>
    </row>
    <row r="65" spans="1:14" ht="17.25" thickBot="1" x14ac:dyDescent="0.35">
      <c r="A65" s="51">
        <v>16</v>
      </c>
      <c r="B65" s="67"/>
      <c r="C65" s="67"/>
      <c r="D65" s="67"/>
      <c r="E65" s="80"/>
      <c r="F65" s="80"/>
      <c r="G65" s="55"/>
      <c r="H65" s="195"/>
      <c r="I65" s="71"/>
      <c r="J65" s="82"/>
      <c r="K65" s="79"/>
      <c r="L65" s="72"/>
      <c r="M65" s="67"/>
      <c r="N65" s="73"/>
    </row>
    <row r="66" spans="1:14" ht="17.25" thickBot="1" x14ac:dyDescent="0.35">
      <c r="A66" s="34"/>
      <c r="B66" s="34"/>
      <c r="C66" s="34"/>
      <c r="D66" s="34"/>
      <c r="E66" s="35"/>
      <c r="F66" s="35"/>
      <c r="G66" s="75"/>
      <c r="H66" s="84"/>
      <c r="I66" s="33"/>
      <c r="J66" s="36"/>
      <c r="K66" s="37"/>
      <c r="L66" s="38"/>
      <c r="M66" s="85"/>
      <c r="N66" s="38"/>
    </row>
    <row r="67" spans="1:14" ht="17.25" customHeight="1" x14ac:dyDescent="0.3">
      <c r="A67" s="41">
        <v>1</v>
      </c>
      <c r="B67" s="42" t="s">
        <v>0</v>
      </c>
      <c r="C67" s="42" t="s">
        <v>5</v>
      </c>
      <c r="D67" s="93" t="s">
        <v>17</v>
      </c>
      <c r="E67" s="92">
        <v>212</v>
      </c>
      <c r="F67" s="43" t="str">
        <f t="shared" ref="F67:F73" si="3">$D67 &amp; $E67</f>
        <v>AB212</v>
      </c>
      <c r="G67" s="44" t="s">
        <v>110</v>
      </c>
      <c r="H67" s="116" t="s">
        <v>81</v>
      </c>
      <c r="I67" s="45"/>
      <c r="J67" s="45" t="s">
        <v>165</v>
      </c>
      <c r="K67" s="46"/>
      <c r="L67" s="47"/>
      <c r="M67" s="94" t="s">
        <v>6</v>
      </c>
      <c r="N67" s="48" t="s">
        <v>3</v>
      </c>
    </row>
    <row r="68" spans="1:14" x14ac:dyDescent="0.3">
      <c r="A68" s="49">
        <v>2</v>
      </c>
      <c r="B68" s="2" t="s">
        <v>0</v>
      </c>
      <c r="C68" s="2" t="s">
        <v>5</v>
      </c>
      <c r="D68" s="16" t="s">
        <v>17</v>
      </c>
      <c r="E68" s="15">
        <v>221</v>
      </c>
      <c r="F68" s="13" t="str">
        <f t="shared" si="3"/>
        <v>AB221</v>
      </c>
      <c r="G68" s="83" t="s">
        <v>109</v>
      </c>
      <c r="H68" s="117" t="s">
        <v>73</v>
      </c>
      <c r="I68" s="4"/>
      <c r="J68" s="110" t="s">
        <v>182</v>
      </c>
      <c r="K68" s="6"/>
      <c r="L68" s="5"/>
      <c r="M68" s="12" t="s">
        <v>6</v>
      </c>
      <c r="N68" s="50" t="s">
        <v>3</v>
      </c>
    </row>
    <row r="69" spans="1:14" x14ac:dyDescent="0.3">
      <c r="A69" s="49">
        <v>3</v>
      </c>
      <c r="B69" s="2" t="s">
        <v>0</v>
      </c>
      <c r="C69" s="2" t="s">
        <v>5</v>
      </c>
      <c r="D69" s="16" t="s">
        <v>17</v>
      </c>
      <c r="E69" s="15">
        <v>232</v>
      </c>
      <c r="F69" s="13" t="str">
        <f t="shared" si="3"/>
        <v>AB232</v>
      </c>
      <c r="G69" s="83" t="s">
        <v>108</v>
      </c>
      <c r="H69" s="117" t="s">
        <v>72</v>
      </c>
      <c r="I69" s="4"/>
      <c r="J69" s="17" t="s">
        <v>166</v>
      </c>
      <c r="K69" s="6"/>
      <c r="L69" s="5"/>
      <c r="M69" s="12" t="s">
        <v>6</v>
      </c>
      <c r="N69" s="50" t="s">
        <v>3</v>
      </c>
    </row>
    <row r="70" spans="1:14" x14ac:dyDescent="0.3">
      <c r="A70" s="49">
        <v>4</v>
      </c>
      <c r="B70" s="2" t="s">
        <v>0</v>
      </c>
      <c r="C70" s="2" t="s">
        <v>5</v>
      </c>
      <c r="D70" s="16" t="s">
        <v>18</v>
      </c>
      <c r="E70" s="15">
        <v>108</v>
      </c>
      <c r="F70" s="13" t="str">
        <f t="shared" si="3"/>
        <v>P108</v>
      </c>
      <c r="G70" s="83" t="s">
        <v>107</v>
      </c>
      <c r="H70" s="117" t="s">
        <v>76</v>
      </c>
      <c r="I70" s="4"/>
      <c r="J70" s="108" t="s">
        <v>181</v>
      </c>
      <c r="K70" s="6"/>
      <c r="L70" s="5"/>
      <c r="M70" s="12" t="s">
        <v>6</v>
      </c>
      <c r="N70" s="50" t="s">
        <v>3</v>
      </c>
    </row>
    <row r="71" spans="1:14" x14ac:dyDescent="0.3">
      <c r="A71" s="49">
        <v>5</v>
      </c>
      <c r="B71" s="2" t="s">
        <v>0</v>
      </c>
      <c r="C71" s="2" t="s">
        <v>5</v>
      </c>
      <c r="D71" s="16" t="s">
        <v>18</v>
      </c>
      <c r="E71" s="15">
        <v>341</v>
      </c>
      <c r="F71" s="13" t="str">
        <f t="shared" si="3"/>
        <v>P341</v>
      </c>
      <c r="G71" s="83" t="s">
        <v>167</v>
      </c>
      <c r="H71" s="117" t="s">
        <v>122</v>
      </c>
      <c r="I71" s="4"/>
      <c r="J71" s="17" t="s">
        <v>168</v>
      </c>
      <c r="K71" s="6"/>
      <c r="L71" s="5"/>
      <c r="M71" s="12" t="s">
        <v>6</v>
      </c>
      <c r="N71" s="50" t="s">
        <v>3</v>
      </c>
    </row>
    <row r="72" spans="1:14" x14ac:dyDescent="0.3">
      <c r="A72" s="49">
        <v>6</v>
      </c>
      <c r="B72" s="2" t="s">
        <v>0</v>
      </c>
      <c r="C72" s="2" t="s">
        <v>5</v>
      </c>
      <c r="D72" s="15" t="s">
        <v>18</v>
      </c>
      <c r="E72" s="15">
        <v>351</v>
      </c>
      <c r="F72" s="15" t="str">
        <f t="shared" si="3"/>
        <v>P351</v>
      </c>
      <c r="G72" s="83" t="s">
        <v>124</v>
      </c>
      <c r="H72" s="114" t="s">
        <v>123</v>
      </c>
      <c r="I72" s="4"/>
      <c r="J72" s="17" t="s">
        <v>168</v>
      </c>
      <c r="K72" s="6"/>
      <c r="L72" s="5"/>
      <c r="M72" s="12" t="s">
        <v>6</v>
      </c>
      <c r="N72" s="50" t="s">
        <v>3</v>
      </c>
    </row>
    <row r="73" spans="1:14" x14ac:dyDescent="0.3">
      <c r="A73" s="49">
        <v>7</v>
      </c>
      <c r="B73" s="2" t="s">
        <v>0</v>
      </c>
      <c r="C73" s="2" t="s">
        <v>5</v>
      </c>
      <c r="D73" s="15" t="s">
        <v>18</v>
      </c>
      <c r="E73" s="15">
        <v>370</v>
      </c>
      <c r="F73" s="15" t="str">
        <f t="shared" si="3"/>
        <v>P370</v>
      </c>
      <c r="G73" s="83" t="s">
        <v>120</v>
      </c>
      <c r="H73" s="117" t="s">
        <v>74</v>
      </c>
      <c r="I73" s="4"/>
      <c r="J73" s="17" t="s">
        <v>168</v>
      </c>
      <c r="K73" s="6"/>
      <c r="L73" s="5"/>
      <c r="M73" s="12" t="s">
        <v>6</v>
      </c>
      <c r="N73" s="50" t="s">
        <v>3</v>
      </c>
    </row>
    <row r="74" spans="1:14" x14ac:dyDescent="0.3">
      <c r="A74" s="49">
        <v>8</v>
      </c>
      <c r="B74" s="2" t="s">
        <v>0</v>
      </c>
      <c r="C74" s="2" t="s">
        <v>5</v>
      </c>
      <c r="D74" s="15" t="s">
        <v>18</v>
      </c>
      <c r="E74" s="15">
        <v>375</v>
      </c>
      <c r="F74" s="15" t="str">
        <f t="shared" ref="F74:F75" si="4">$D74 &amp; $E74</f>
        <v>P375</v>
      </c>
      <c r="G74" s="83" t="s">
        <v>121</v>
      </c>
      <c r="H74" s="114" t="s">
        <v>75</v>
      </c>
      <c r="I74" s="4"/>
      <c r="J74" s="17" t="s">
        <v>168</v>
      </c>
      <c r="K74" s="6"/>
      <c r="L74" s="5"/>
      <c r="M74" s="12" t="s">
        <v>6</v>
      </c>
      <c r="N74" s="50" t="s">
        <v>3</v>
      </c>
    </row>
    <row r="75" spans="1:14" x14ac:dyDescent="0.3">
      <c r="A75" s="49">
        <v>9</v>
      </c>
      <c r="B75" s="2" t="s">
        <v>0</v>
      </c>
      <c r="C75" s="2" t="s">
        <v>5</v>
      </c>
      <c r="D75" s="15" t="s">
        <v>87</v>
      </c>
      <c r="E75" s="15">
        <v>380</v>
      </c>
      <c r="F75" s="15" t="str">
        <f t="shared" si="4"/>
        <v>P380</v>
      </c>
      <c r="G75" s="83" t="s">
        <v>111</v>
      </c>
      <c r="H75" s="114" t="s">
        <v>82</v>
      </c>
      <c r="I75" s="4"/>
      <c r="J75" s="109" t="s">
        <v>184</v>
      </c>
      <c r="K75" s="6"/>
      <c r="L75" s="5"/>
      <c r="M75" s="12" t="s">
        <v>169</v>
      </c>
      <c r="N75" s="50" t="s">
        <v>3</v>
      </c>
    </row>
    <row r="76" spans="1:14" x14ac:dyDescent="0.3">
      <c r="A76" s="49">
        <v>12</v>
      </c>
      <c r="B76" s="21"/>
      <c r="C76" s="21"/>
      <c r="D76" s="21"/>
      <c r="E76" s="28"/>
      <c r="F76" s="27"/>
      <c r="G76" s="83"/>
      <c r="H76" s="194" t="s">
        <v>125</v>
      </c>
      <c r="I76" s="24"/>
      <c r="J76" s="30"/>
      <c r="K76" s="25"/>
      <c r="L76" s="26"/>
      <c r="M76" s="31"/>
      <c r="N76" s="77"/>
    </row>
    <row r="77" spans="1:14" ht="17.25" thickBot="1" x14ac:dyDescent="0.35">
      <c r="A77" s="51">
        <v>13</v>
      </c>
      <c r="B77" s="67"/>
      <c r="C77" s="67"/>
      <c r="D77" s="67"/>
      <c r="E77" s="80"/>
      <c r="F77" s="81"/>
      <c r="G77" s="86"/>
      <c r="H77" s="195"/>
      <c r="I77" s="71"/>
      <c r="J77" s="87"/>
      <c r="K77" s="79"/>
      <c r="L77" s="72"/>
      <c r="M77" s="88"/>
      <c r="N77" s="73"/>
    </row>
    <row r="78" spans="1:14" ht="17.25" thickBot="1" x14ac:dyDescent="0.35">
      <c r="A78" s="34"/>
      <c r="B78" s="34"/>
      <c r="C78" s="34"/>
      <c r="D78" s="34"/>
      <c r="E78" s="35"/>
      <c r="F78" s="89"/>
      <c r="G78" s="90"/>
      <c r="H78" s="84"/>
      <c r="I78" s="33"/>
      <c r="J78" s="91"/>
      <c r="K78" s="37"/>
      <c r="L78" s="38"/>
      <c r="M78" s="39"/>
      <c r="N78" s="38"/>
    </row>
    <row r="79" spans="1:14" x14ac:dyDescent="0.3">
      <c r="A79" s="41">
        <v>1</v>
      </c>
      <c r="B79" s="42" t="s">
        <v>0</v>
      </c>
      <c r="C79" s="42" t="s">
        <v>2</v>
      </c>
      <c r="D79" s="42" t="s">
        <v>41</v>
      </c>
      <c r="E79" s="42">
        <v>176</v>
      </c>
      <c r="F79" s="43" t="str">
        <f t="shared" ref="F79:F82" si="5">$D79 &amp; $E79</f>
        <v>FD176</v>
      </c>
      <c r="G79" s="44"/>
      <c r="H79" s="118" t="s">
        <v>43</v>
      </c>
      <c r="I79" s="45"/>
      <c r="J79" s="45" t="s">
        <v>170</v>
      </c>
      <c r="K79" s="46"/>
      <c r="L79" s="47"/>
      <c r="M79" s="94" t="s">
        <v>4</v>
      </c>
      <c r="N79" s="48" t="s">
        <v>3</v>
      </c>
    </row>
    <row r="80" spans="1:14" x14ac:dyDescent="0.3">
      <c r="A80" s="2">
        <v>2</v>
      </c>
      <c r="B80" s="2" t="s">
        <v>0</v>
      </c>
      <c r="C80" s="2" t="s">
        <v>2</v>
      </c>
      <c r="D80" s="2" t="s">
        <v>42</v>
      </c>
      <c r="E80" s="2">
        <v>501</v>
      </c>
      <c r="F80" s="2" t="str">
        <f t="shared" si="5"/>
        <v>GD501</v>
      </c>
      <c r="G80" s="9"/>
      <c r="H80" s="119" t="s">
        <v>144</v>
      </c>
      <c r="I80" s="4"/>
      <c r="J80" s="4"/>
      <c r="K80" s="6"/>
      <c r="L80" s="5"/>
      <c r="M80" s="12" t="s">
        <v>4</v>
      </c>
      <c r="N80" s="50" t="s">
        <v>3</v>
      </c>
    </row>
    <row r="81" spans="1:14" x14ac:dyDescent="0.3">
      <c r="A81" s="2">
        <v>3</v>
      </c>
      <c r="B81" s="2" t="s">
        <v>0</v>
      </c>
      <c r="C81" s="2" t="s">
        <v>2</v>
      </c>
      <c r="D81" s="2" t="s">
        <v>42</v>
      </c>
      <c r="E81" s="2">
        <v>502</v>
      </c>
      <c r="F81" s="2" t="str">
        <f t="shared" si="5"/>
        <v>GD502</v>
      </c>
      <c r="G81" s="9"/>
      <c r="H81" s="119" t="s">
        <v>171</v>
      </c>
      <c r="I81" s="4"/>
      <c r="J81" s="4"/>
      <c r="K81" s="6"/>
      <c r="L81" s="5"/>
      <c r="M81" s="12" t="s">
        <v>4</v>
      </c>
      <c r="N81" s="50" t="s">
        <v>3</v>
      </c>
    </row>
    <row r="82" spans="1:14" x14ac:dyDescent="0.3">
      <c r="A82" s="2">
        <v>4</v>
      </c>
      <c r="B82" s="2" t="s">
        <v>0</v>
      </c>
      <c r="C82" s="2" t="s">
        <v>2</v>
      </c>
      <c r="D82" s="2" t="s">
        <v>35</v>
      </c>
      <c r="E82" s="2">
        <v>504</v>
      </c>
      <c r="F82" s="13" t="str">
        <f t="shared" si="5"/>
        <v>FAN504</v>
      </c>
      <c r="G82" s="3"/>
      <c r="H82" s="117" t="s">
        <v>173</v>
      </c>
      <c r="I82" s="4"/>
      <c r="J82" s="17" t="s">
        <v>172</v>
      </c>
      <c r="K82" s="6"/>
      <c r="L82" s="5"/>
      <c r="M82" s="12" t="s">
        <v>4</v>
      </c>
      <c r="N82" s="50" t="s">
        <v>3</v>
      </c>
    </row>
    <row r="83" spans="1:14" x14ac:dyDescent="0.3">
      <c r="A83" s="2">
        <v>5</v>
      </c>
      <c r="B83" s="2" t="s">
        <v>0</v>
      </c>
      <c r="C83" s="2" t="s">
        <v>2</v>
      </c>
      <c r="D83" s="16" t="s">
        <v>32</v>
      </c>
      <c r="E83" s="16" t="s">
        <v>40</v>
      </c>
      <c r="F83" s="15" t="str">
        <f>$D83 &amp; $E83</f>
        <v>TJ-sig</v>
      </c>
      <c r="G83" s="120" t="s">
        <v>192</v>
      </c>
      <c r="H83" s="115" t="s">
        <v>83</v>
      </c>
      <c r="I83" s="4"/>
      <c r="J83" s="4"/>
      <c r="K83" s="6"/>
      <c r="L83" s="5"/>
      <c r="M83" s="12" t="s">
        <v>4</v>
      </c>
      <c r="N83" s="50" t="s">
        <v>3</v>
      </c>
    </row>
    <row r="84" spans="1:14" x14ac:dyDescent="0.3">
      <c r="A84" s="49">
        <v>6</v>
      </c>
      <c r="B84" s="21"/>
      <c r="C84" s="21"/>
      <c r="D84" s="29"/>
      <c r="E84" s="29"/>
      <c r="F84" s="27"/>
      <c r="G84" s="23"/>
      <c r="H84" s="194" t="s">
        <v>125</v>
      </c>
      <c r="I84" s="24"/>
      <c r="J84" s="24"/>
      <c r="K84" s="25"/>
      <c r="L84" s="26"/>
      <c r="M84" s="31"/>
      <c r="N84" s="77"/>
    </row>
    <row r="85" spans="1:14" ht="17.25" thickBot="1" x14ac:dyDescent="0.35">
      <c r="A85" s="51">
        <v>7</v>
      </c>
      <c r="B85" s="67"/>
      <c r="C85" s="67"/>
      <c r="D85" s="56"/>
      <c r="E85" s="56"/>
      <c r="F85" s="81"/>
      <c r="G85" s="78"/>
      <c r="H85" s="195"/>
      <c r="I85" s="71"/>
      <c r="J85" s="71"/>
      <c r="K85" s="79"/>
      <c r="L85" s="72"/>
      <c r="M85" s="88"/>
      <c r="N85" s="73"/>
    </row>
    <row r="86" spans="1:14" ht="17.25" thickBot="1" x14ac:dyDescent="0.35">
      <c r="A86" s="51"/>
      <c r="B86" s="67"/>
      <c r="C86" s="67"/>
      <c r="D86" s="56"/>
      <c r="E86" s="56"/>
      <c r="F86" s="81"/>
      <c r="G86" s="78"/>
      <c r="H86" s="81"/>
      <c r="I86" s="71"/>
      <c r="J86" s="71"/>
      <c r="K86" s="79"/>
      <c r="L86" s="72"/>
      <c r="M86" s="88"/>
      <c r="N86" s="73"/>
    </row>
    <row r="87" spans="1:14" x14ac:dyDescent="0.3">
      <c r="A87" s="49">
        <v>1</v>
      </c>
      <c r="B87" s="2" t="s">
        <v>0</v>
      </c>
      <c r="C87" s="2" t="s">
        <v>1</v>
      </c>
      <c r="D87" s="2" t="s">
        <v>46</v>
      </c>
      <c r="E87" s="2">
        <v>102</v>
      </c>
      <c r="F87" s="13" t="str">
        <f t="shared" ref="F87:F109" si="6">$D87 &amp; $E87</f>
        <v>SV102</v>
      </c>
      <c r="G87" s="9"/>
      <c r="H87" s="119" t="s">
        <v>127</v>
      </c>
      <c r="I87" s="4"/>
      <c r="J87" s="108" t="s">
        <v>174</v>
      </c>
      <c r="K87" s="6"/>
      <c r="L87" s="5"/>
      <c r="M87" s="12" t="s">
        <v>4</v>
      </c>
      <c r="N87" s="50" t="s">
        <v>3</v>
      </c>
    </row>
    <row r="88" spans="1:14" x14ac:dyDescent="0.3">
      <c r="A88" s="49">
        <v>2</v>
      </c>
      <c r="B88" s="2" t="s">
        <v>0</v>
      </c>
      <c r="C88" s="2" t="s">
        <v>1</v>
      </c>
      <c r="D88" s="2" t="s">
        <v>46</v>
      </c>
      <c r="E88" s="2">
        <v>103</v>
      </c>
      <c r="F88" s="13" t="str">
        <f t="shared" si="6"/>
        <v>SV103</v>
      </c>
      <c r="G88" s="9"/>
      <c r="H88" s="119" t="s">
        <v>128</v>
      </c>
      <c r="I88" s="4"/>
      <c r="J88" s="108" t="s">
        <v>174</v>
      </c>
      <c r="K88" s="6"/>
      <c r="L88" s="5"/>
      <c r="M88" s="12" t="s">
        <v>4</v>
      </c>
      <c r="N88" s="50" t="s">
        <v>3</v>
      </c>
    </row>
    <row r="89" spans="1:14" x14ac:dyDescent="0.3">
      <c r="A89" s="49">
        <v>3</v>
      </c>
      <c r="B89" s="2" t="s">
        <v>0</v>
      </c>
      <c r="C89" s="2" t="s">
        <v>1</v>
      </c>
      <c r="D89" s="2" t="s">
        <v>46</v>
      </c>
      <c r="E89" s="2">
        <v>125</v>
      </c>
      <c r="F89" s="13" t="str">
        <f t="shared" si="6"/>
        <v>SV125</v>
      </c>
      <c r="G89" s="9"/>
      <c r="H89" s="119" t="s">
        <v>129</v>
      </c>
      <c r="I89" s="4"/>
      <c r="J89" s="108" t="s">
        <v>174</v>
      </c>
      <c r="K89" s="6"/>
      <c r="L89" s="5"/>
      <c r="M89" s="12" t="s">
        <v>4</v>
      </c>
      <c r="N89" s="50" t="s">
        <v>3</v>
      </c>
    </row>
    <row r="90" spans="1:14" x14ac:dyDescent="0.3">
      <c r="A90" s="49">
        <v>4</v>
      </c>
      <c r="B90" s="2" t="s">
        <v>0</v>
      </c>
      <c r="C90" s="2" t="s">
        <v>1</v>
      </c>
      <c r="D90" s="2" t="s">
        <v>46</v>
      </c>
      <c r="E90" s="2">
        <v>145</v>
      </c>
      <c r="F90" s="13" t="str">
        <f t="shared" si="6"/>
        <v>SV145</v>
      </c>
      <c r="G90" s="9"/>
      <c r="H90" s="119" t="s">
        <v>130</v>
      </c>
      <c r="I90" s="4"/>
      <c r="J90" s="108" t="s">
        <v>174</v>
      </c>
      <c r="K90" s="6"/>
      <c r="L90" s="5"/>
      <c r="M90" s="12" t="s">
        <v>4</v>
      </c>
      <c r="N90" s="50" t="s">
        <v>3</v>
      </c>
    </row>
    <row r="91" spans="1:14" x14ac:dyDescent="0.3">
      <c r="A91" s="49">
        <v>5</v>
      </c>
      <c r="B91" s="2" t="s">
        <v>0</v>
      </c>
      <c r="C91" s="2" t="s">
        <v>1</v>
      </c>
      <c r="D91" s="2" t="s">
        <v>46</v>
      </c>
      <c r="E91" s="2">
        <v>149</v>
      </c>
      <c r="F91" s="13" t="str">
        <f t="shared" si="6"/>
        <v>SV149</v>
      </c>
      <c r="G91" s="9"/>
      <c r="H91" s="119" t="s">
        <v>131</v>
      </c>
      <c r="I91" s="4"/>
      <c r="J91" s="108" t="s">
        <v>174</v>
      </c>
      <c r="K91" s="6"/>
      <c r="L91" s="5"/>
      <c r="M91" s="12" t="s">
        <v>4</v>
      </c>
      <c r="N91" s="50" t="s">
        <v>3</v>
      </c>
    </row>
    <row r="92" spans="1:14" x14ac:dyDescent="0.3">
      <c r="A92" s="49">
        <v>6</v>
      </c>
      <c r="B92" s="2" t="s">
        <v>0</v>
      </c>
      <c r="C92" s="2" t="s">
        <v>1</v>
      </c>
      <c r="D92" s="2" t="s">
        <v>46</v>
      </c>
      <c r="E92" s="2">
        <v>323</v>
      </c>
      <c r="F92" s="15" t="str">
        <f t="shared" si="6"/>
        <v>SV323</v>
      </c>
      <c r="G92" s="9"/>
      <c r="H92" s="119" t="s">
        <v>132</v>
      </c>
      <c r="I92" s="4"/>
      <c r="J92" s="108" t="s">
        <v>175</v>
      </c>
      <c r="K92" s="6"/>
      <c r="L92" s="5"/>
      <c r="M92" s="12" t="s">
        <v>4</v>
      </c>
      <c r="N92" s="50" t="s">
        <v>3</v>
      </c>
    </row>
    <row r="93" spans="1:14" x14ac:dyDescent="0.3">
      <c r="A93" s="49">
        <v>7</v>
      </c>
      <c r="B93" s="2" t="s">
        <v>0</v>
      </c>
      <c r="C93" s="2" t="s">
        <v>1</v>
      </c>
      <c r="D93" s="2" t="s">
        <v>126</v>
      </c>
      <c r="E93" s="2">
        <v>124</v>
      </c>
      <c r="F93" s="2" t="str">
        <f t="shared" si="6"/>
        <v>MV124</v>
      </c>
      <c r="G93" s="9"/>
      <c r="H93" s="119" t="s">
        <v>133</v>
      </c>
      <c r="I93" s="18"/>
      <c r="J93" s="108" t="s">
        <v>176</v>
      </c>
      <c r="K93" s="19"/>
      <c r="L93" s="20"/>
      <c r="M93" s="12" t="s">
        <v>4</v>
      </c>
      <c r="N93" s="50" t="s">
        <v>3</v>
      </c>
    </row>
    <row r="94" spans="1:14" x14ac:dyDescent="0.3">
      <c r="A94" s="49">
        <v>8</v>
      </c>
      <c r="B94" s="2" t="s">
        <v>0</v>
      </c>
      <c r="C94" s="2" t="s">
        <v>1</v>
      </c>
      <c r="D94" s="2" t="s">
        <v>126</v>
      </c>
      <c r="E94" s="2">
        <v>131</v>
      </c>
      <c r="F94" s="2" t="str">
        <f t="shared" si="6"/>
        <v>MV131</v>
      </c>
      <c r="G94" s="9"/>
      <c r="H94" s="119" t="s">
        <v>134</v>
      </c>
      <c r="I94" s="4"/>
      <c r="J94" s="108" t="s">
        <v>176</v>
      </c>
      <c r="K94" s="6"/>
      <c r="L94" s="5"/>
      <c r="M94" s="12" t="s">
        <v>4</v>
      </c>
      <c r="N94" s="50" t="s">
        <v>3</v>
      </c>
    </row>
    <row r="95" spans="1:14" ht="16.5" customHeight="1" x14ac:dyDescent="0.3">
      <c r="A95" s="49">
        <v>9</v>
      </c>
      <c r="B95" s="2" t="s">
        <v>0</v>
      </c>
      <c r="C95" s="2" t="s">
        <v>1</v>
      </c>
      <c r="D95" s="2" t="s">
        <v>126</v>
      </c>
      <c r="E95" s="2">
        <v>148</v>
      </c>
      <c r="F95" s="2" t="str">
        <f t="shared" si="6"/>
        <v>MV148</v>
      </c>
      <c r="G95" s="9"/>
      <c r="H95" s="119" t="s">
        <v>135</v>
      </c>
      <c r="I95" s="4"/>
      <c r="J95" s="108" t="s">
        <v>176</v>
      </c>
      <c r="K95" s="6"/>
      <c r="L95" s="5"/>
      <c r="M95" s="12" t="s">
        <v>15</v>
      </c>
      <c r="N95" s="50" t="s">
        <v>3</v>
      </c>
    </row>
    <row r="96" spans="1:14" x14ac:dyDescent="0.3">
      <c r="A96" s="49">
        <v>10</v>
      </c>
      <c r="B96" s="2" t="s">
        <v>0</v>
      </c>
      <c r="C96" s="2" t="s">
        <v>1</v>
      </c>
      <c r="D96" s="2" t="s">
        <v>126</v>
      </c>
      <c r="E96" s="2">
        <v>150</v>
      </c>
      <c r="F96" s="2" t="str">
        <f t="shared" si="6"/>
        <v>MV150</v>
      </c>
      <c r="G96" s="9"/>
      <c r="H96" s="119" t="s">
        <v>136</v>
      </c>
      <c r="I96" s="4"/>
      <c r="J96" s="108" t="s">
        <v>176</v>
      </c>
      <c r="K96" s="6"/>
      <c r="L96" s="5"/>
      <c r="M96" s="12" t="s">
        <v>15</v>
      </c>
      <c r="N96" s="50" t="s">
        <v>3</v>
      </c>
    </row>
    <row r="97" spans="1:14" ht="17.25" customHeight="1" x14ac:dyDescent="0.3">
      <c r="A97" s="49">
        <v>11</v>
      </c>
      <c r="B97" s="2" t="s">
        <v>0</v>
      </c>
      <c r="C97" s="2" t="s">
        <v>1</v>
      </c>
      <c r="D97" s="2" t="s">
        <v>126</v>
      </c>
      <c r="E97" s="2">
        <v>155</v>
      </c>
      <c r="F97" s="16" t="str">
        <f t="shared" si="6"/>
        <v>MV155</v>
      </c>
      <c r="G97" s="9"/>
      <c r="H97" s="119" t="s">
        <v>137</v>
      </c>
      <c r="I97" s="4"/>
      <c r="J97" s="108" t="s">
        <v>176</v>
      </c>
      <c r="K97" s="6"/>
      <c r="L97" s="5"/>
      <c r="M97" s="12" t="s">
        <v>15</v>
      </c>
      <c r="N97" s="50" t="s">
        <v>3</v>
      </c>
    </row>
    <row r="98" spans="1:14" ht="17.25" customHeight="1" x14ac:dyDescent="0.3">
      <c r="A98" s="49">
        <v>12</v>
      </c>
      <c r="B98" s="2" t="s">
        <v>0</v>
      </c>
      <c r="C98" s="2" t="s">
        <v>1</v>
      </c>
      <c r="D98" s="2" t="s">
        <v>126</v>
      </c>
      <c r="E98" s="2">
        <v>158</v>
      </c>
      <c r="F98" s="16" t="str">
        <f t="shared" si="6"/>
        <v>MV158</v>
      </c>
      <c r="G98" s="9"/>
      <c r="H98" s="119" t="s">
        <v>138</v>
      </c>
      <c r="I98" s="4"/>
      <c r="J98" s="108" t="s">
        <v>176</v>
      </c>
      <c r="K98" s="6"/>
      <c r="L98" s="5"/>
      <c r="M98" s="12" t="s">
        <v>4</v>
      </c>
      <c r="N98" s="50" t="s">
        <v>3</v>
      </c>
    </row>
    <row r="99" spans="1:14" ht="17.25" customHeight="1" x14ac:dyDescent="0.3">
      <c r="A99" s="49">
        <v>13</v>
      </c>
      <c r="B99" s="2" t="s">
        <v>0</v>
      </c>
      <c r="C99" s="2" t="s">
        <v>1</v>
      </c>
      <c r="D99" s="2" t="s">
        <v>126</v>
      </c>
      <c r="E99" s="2">
        <v>300</v>
      </c>
      <c r="F99" s="2" t="str">
        <f t="shared" si="6"/>
        <v>MV300</v>
      </c>
      <c r="G99" s="9"/>
      <c r="H99" s="119" t="s">
        <v>139</v>
      </c>
      <c r="I99" s="4"/>
      <c r="J99" s="108" t="s">
        <v>176</v>
      </c>
      <c r="K99" s="6"/>
      <c r="L99" s="5"/>
      <c r="M99" s="12" t="s">
        <v>4</v>
      </c>
      <c r="N99" s="50" t="s">
        <v>3</v>
      </c>
    </row>
    <row r="100" spans="1:14" ht="17.25" customHeight="1" x14ac:dyDescent="0.3">
      <c r="A100" s="49">
        <v>15</v>
      </c>
      <c r="B100" s="2" t="s">
        <v>0</v>
      </c>
      <c r="C100" s="2" t="s">
        <v>1</v>
      </c>
      <c r="D100" s="2" t="s">
        <v>126</v>
      </c>
      <c r="E100" s="2">
        <v>390</v>
      </c>
      <c r="F100" s="2" t="str">
        <f>$D100 &amp; $E100</f>
        <v>MV390</v>
      </c>
      <c r="G100" s="9"/>
      <c r="H100" s="119" t="s">
        <v>140</v>
      </c>
      <c r="I100" s="4"/>
      <c r="J100" s="108" t="s">
        <v>176</v>
      </c>
      <c r="K100" s="6"/>
      <c r="L100" s="5"/>
      <c r="M100" s="12" t="s">
        <v>4</v>
      </c>
      <c r="N100" s="50" t="s">
        <v>3</v>
      </c>
    </row>
    <row r="101" spans="1:14" ht="17.25" customHeight="1" x14ac:dyDescent="0.3">
      <c r="A101" s="49">
        <v>16</v>
      </c>
      <c r="B101" s="2"/>
      <c r="C101" s="2"/>
      <c r="D101" s="2"/>
      <c r="E101" s="2"/>
      <c r="F101" s="2"/>
      <c r="G101" s="9"/>
      <c r="H101" s="193" t="s">
        <v>125</v>
      </c>
      <c r="I101" s="4"/>
      <c r="J101" s="4"/>
      <c r="K101" s="6"/>
      <c r="L101" s="5"/>
      <c r="M101" s="12"/>
      <c r="N101" s="50"/>
    </row>
    <row r="102" spans="1:14" ht="17.25" customHeight="1" thickBot="1" x14ac:dyDescent="0.35">
      <c r="A102" s="51">
        <v>17</v>
      </c>
      <c r="B102" s="52"/>
      <c r="C102" s="52"/>
      <c r="D102" s="52"/>
      <c r="E102" s="52"/>
      <c r="F102" s="52"/>
      <c r="G102" s="106"/>
      <c r="H102" s="190"/>
      <c r="I102" s="57"/>
      <c r="J102" s="57"/>
      <c r="K102" s="58"/>
      <c r="L102" s="59"/>
      <c r="M102" s="96"/>
      <c r="N102" s="60"/>
    </row>
    <row r="103" spans="1:14" ht="17.25" customHeight="1" thickBot="1" x14ac:dyDescent="0.35">
      <c r="A103" s="97"/>
      <c r="B103" s="98"/>
      <c r="C103" s="98"/>
      <c r="D103" s="98"/>
      <c r="E103" s="98"/>
      <c r="F103" s="98"/>
      <c r="G103" s="99"/>
      <c r="H103" s="100"/>
      <c r="I103" s="101"/>
      <c r="J103" s="101"/>
      <c r="K103" s="102"/>
      <c r="L103" s="103"/>
      <c r="M103" s="104"/>
      <c r="N103" s="105"/>
    </row>
    <row r="104" spans="1:14" x14ac:dyDescent="0.3">
      <c r="A104" s="95">
        <v>1</v>
      </c>
      <c r="B104" s="21" t="s">
        <v>0</v>
      </c>
      <c r="C104" s="21" t="s">
        <v>1</v>
      </c>
      <c r="D104" s="21" t="s">
        <v>48</v>
      </c>
      <c r="E104" s="21" t="s">
        <v>49</v>
      </c>
      <c r="F104" s="21" t="str">
        <f t="shared" si="6"/>
        <v>MC SW</v>
      </c>
      <c r="G104" s="32"/>
      <c r="H104" s="121" t="s">
        <v>50</v>
      </c>
      <c r="I104" s="24"/>
      <c r="J104" s="24"/>
      <c r="K104" s="25"/>
      <c r="L104" s="26"/>
      <c r="M104" s="31" t="s">
        <v>177</v>
      </c>
      <c r="N104" s="77" t="s">
        <v>178</v>
      </c>
    </row>
    <row r="105" spans="1:14" x14ac:dyDescent="0.3">
      <c r="A105" s="95">
        <v>2</v>
      </c>
      <c r="B105" s="21" t="s">
        <v>0</v>
      </c>
      <c r="C105" s="21" t="s">
        <v>1</v>
      </c>
      <c r="D105" s="21" t="s">
        <v>47</v>
      </c>
      <c r="E105" s="21">
        <v>193</v>
      </c>
      <c r="F105" s="21" t="str">
        <f t="shared" si="6"/>
        <v>HT193</v>
      </c>
      <c r="G105" s="111" t="s">
        <v>187</v>
      </c>
      <c r="H105" s="121" t="s">
        <v>141</v>
      </c>
      <c r="I105" s="24"/>
      <c r="J105" s="24"/>
      <c r="K105" s="25"/>
      <c r="L105" s="26"/>
      <c r="M105" s="31" t="s">
        <v>177</v>
      </c>
      <c r="N105" s="77" t="s">
        <v>178</v>
      </c>
    </row>
    <row r="106" spans="1:14" x14ac:dyDescent="0.3">
      <c r="A106" s="95">
        <v>3</v>
      </c>
      <c r="B106" s="2" t="s">
        <v>0</v>
      </c>
      <c r="C106" s="2" t="s">
        <v>1</v>
      </c>
      <c r="D106" s="2" t="s">
        <v>47</v>
      </c>
      <c r="E106" s="2">
        <v>194</v>
      </c>
      <c r="F106" s="2" t="str">
        <f t="shared" si="6"/>
        <v>HT194</v>
      </c>
      <c r="G106" s="112" t="s">
        <v>187</v>
      </c>
      <c r="H106" s="119" t="s">
        <v>141</v>
      </c>
      <c r="I106" s="4"/>
      <c r="J106" s="4"/>
      <c r="K106" s="6"/>
      <c r="L106" s="5"/>
      <c r="M106" s="12" t="s">
        <v>177</v>
      </c>
      <c r="N106" s="50" t="s">
        <v>178</v>
      </c>
    </row>
    <row r="107" spans="1:14" x14ac:dyDescent="0.3">
      <c r="A107" s="95">
        <v>4</v>
      </c>
      <c r="B107" s="2" t="s">
        <v>0</v>
      </c>
      <c r="C107" s="2" t="s">
        <v>1</v>
      </c>
      <c r="D107" s="2" t="s">
        <v>47</v>
      </c>
      <c r="E107" s="2">
        <v>195</v>
      </c>
      <c r="F107" s="2" t="str">
        <f t="shared" si="6"/>
        <v>HT195</v>
      </c>
      <c r="G107" s="112" t="s">
        <v>188</v>
      </c>
      <c r="H107" s="119" t="s">
        <v>142</v>
      </c>
      <c r="I107" s="4"/>
      <c r="J107" s="4"/>
      <c r="K107" s="6"/>
      <c r="L107" s="5"/>
      <c r="M107" s="12" t="s">
        <v>177</v>
      </c>
      <c r="N107" s="50" t="s">
        <v>178</v>
      </c>
    </row>
    <row r="108" spans="1:14" x14ac:dyDescent="0.3">
      <c r="A108" s="95">
        <v>5</v>
      </c>
      <c r="B108" s="2" t="s">
        <v>0</v>
      </c>
      <c r="C108" s="2" t="s">
        <v>1</v>
      </c>
      <c r="D108" s="2" t="s">
        <v>47</v>
      </c>
      <c r="E108" s="2">
        <v>196</v>
      </c>
      <c r="F108" s="2" t="str">
        <f t="shared" si="6"/>
        <v>HT196</v>
      </c>
      <c r="G108" s="112" t="s">
        <v>188</v>
      </c>
      <c r="H108" s="119" t="s">
        <v>143</v>
      </c>
      <c r="I108" s="4"/>
      <c r="J108" s="4"/>
      <c r="K108" s="6"/>
      <c r="L108" s="5"/>
      <c r="M108" s="12" t="s">
        <v>177</v>
      </c>
      <c r="N108" s="50" t="s">
        <v>178</v>
      </c>
    </row>
    <row r="109" spans="1:14" ht="17.25" thickBot="1" x14ac:dyDescent="0.35">
      <c r="A109" s="95">
        <v>6</v>
      </c>
      <c r="B109" s="2" t="s">
        <v>0</v>
      </c>
      <c r="C109" s="2" t="s">
        <v>1</v>
      </c>
      <c r="D109" s="2" t="s">
        <v>51</v>
      </c>
      <c r="E109" s="2">
        <v>175</v>
      </c>
      <c r="F109" s="2" t="str">
        <f t="shared" si="6"/>
        <v>IGN175</v>
      </c>
      <c r="G109" s="107"/>
      <c r="H109" s="119" t="s">
        <v>52</v>
      </c>
      <c r="I109" s="4"/>
      <c r="J109" s="4" t="s">
        <v>179</v>
      </c>
      <c r="K109" s="6"/>
      <c r="L109" s="5"/>
      <c r="M109" s="12" t="s">
        <v>177</v>
      </c>
      <c r="N109" s="50" t="s">
        <v>178</v>
      </c>
    </row>
    <row r="110" spans="1:14" x14ac:dyDescent="0.3">
      <c r="A110" s="95">
        <v>7</v>
      </c>
      <c r="B110" s="2" t="s">
        <v>0</v>
      </c>
      <c r="C110" s="2" t="s">
        <v>1</v>
      </c>
      <c r="D110" s="2"/>
      <c r="E110" s="2"/>
      <c r="F110" s="2"/>
      <c r="G110" s="107"/>
      <c r="H110" s="189" t="s">
        <v>189</v>
      </c>
      <c r="I110" s="4"/>
      <c r="J110" s="4"/>
      <c r="K110" s="6"/>
      <c r="L110" s="5"/>
      <c r="M110" s="12" t="s">
        <v>177</v>
      </c>
      <c r="N110" s="50" t="s">
        <v>178</v>
      </c>
    </row>
    <row r="111" spans="1:14" ht="17.25" thickBot="1" x14ac:dyDescent="0.35">
      <c r="A111" s="52">
        <v>8</v>
      </c>
      <c r="B111" s="52" t="s">
        <v>0</v>
      </c>
      <c r="C111" s="52" t="s">
        <v>1</v>
      </c>
      <c r="D111" s="52"/>
      <c r="E111" s="52"/>
      <c r="F111" s="52"/>
      <c r="G111" s="106"/>
      <c r="H111" s="190"/>
      <c r="I111" s="57"/>
      <c r="J111" s="57"/>
      <c r="K111" s="58"/>
      <c r="L111" s="59"/>
      <c r="M111" s="96" t="s">
        <v>177</v>
      </c>
      <c r="N111" s="60" t="s">
        <v>178</v>
      </c>
    </row>
  </sheetData>
  <autoFilter ref="A1:N112" xr:uid="{00000000-0009-0000-0000-000000000000}">
    <sortState xmlns:xlrd2="http://schemas.microsoft.com/office/spreadsheetml/2017/richdata2" ref="A2:O125">
      <sortCondition ref="A1:A125"/>
    </sortState>
  </autoFilter>
  <mergeCells count="9">
    <mergeCell ref="H110:H111"/>
    <mergeCell ref="J8:J19"/>
    <mergeCell ref="J24:J42"/>
    <mergeCell ref="H101:H102"/>
    <mergeCell ref="H84:H85"/>
    <mergeCell ref="H43:H48"/>
    <mergeCell ref="H20:H22"/>
    <mergeCell ref="H64:H65"/>
    <mergeCell ref="H76:H77"/>
  </mergeCells>
  <phoneticPr fontId="1" type="noConversion"/>
  <conditionalFormatting sqref="H15:H20 H82">
    <cfRule type="expression" dxfId="289" priority="118">
      <formula>#REF!="COGEN"</formula>
    </cfRule>
    <cfRule type="expression" dxfId="288" priority="119">
      <formula>#REF!="DIWATER"</formula>
    </cfRule>
    <cfRule type="expression" dxfId="287" priority="120">
      <formula>#REF!="AIR"</formula>
    </cfRule>
    <cfRule type="expression" dxfId="286" priority="116">
      <formula>#REF!="ETC"</formula>
    </cfRule>
    <cfRule type="expression" dxfId="285" priority="117">
      <formula>#REF!="CITYGAS"</formula>
    </cfRule>
  </conditionalFormatting>
  <conditionalFormatting sqref="H23:H30">
    <cfRule type="expression" dxfId="284" priority="248">
      <formula>#REF!="COGEN"</formula>
    </cfRule>
    <cfRule type="expression" dxfId="283" priority="247">
      <formula>#REF!="CITYGAS"</formula>
    </cfRule>
    <cfRule type="expression" dxfId="282" priority="246">
      <formula>#REF!="ETC"</formula>
    </cfRule>
    <cfRule type="expression" dxfId="281" priority="250">
      <formula>#REF!="AIR"</formula>
    </cfRule>
    <cfRule type="expression" dxfId="280" priority="249">
      <formula>#REF!="DIWATER"</formula>
    </cfRule>
  </conditionalFormatting>
  <conditionalFormatting sqref="H32:H42 J82">
    <cfRule type="expression" dxfId="279" priority="102">
      <formula>$C32="CITYGAS"</formula>
    </cfRule>
    <cfRule type="expression" dxfId="278" priority="101">
      <formula>$C32="ETC"</formula>
    </cfRule>
    <cfRule type="expression" dxfId="277" priority="105">
      <formula>$C32="AIR"</formula>
    </cfRule>
    <cfRule type="expression" dxfId="276" priority="103">
      <formula>$C32="WATER"</formula>
    </cfRule>
    <cfRule type="expression" dxfId="275" priority="104">
      <formula>$C32="DIWATER"</formula>
    </cfRule>
  </conditionalFormatting>
  <conditionalFormatting sqref="H43">
    <cfRule type="expression" dxfId="274" priority="243">
      <formula>#REF!="COGEN"</formula>
    </cfRule>
    <cfRule type="expression" dxfId="273" priority="242">
      <formula>#REF!="CITYGAS"</formula>
    </cfRule>
    <cfRule type="expression" dxfId="272" priority="241">
      <formula>#REF!="ETC"</formula>
    </cfRule>
    <cfRule type="expression" dxfId="271" priority="245">
      <formula>#REF!="AIR"</formula>
    </cfRule>
    <cfRule type="expression" dxfId="270" priority="244">
      <formula>#REF!="DIWATER"</formula>
    </cfRule>
  </conditionalFormatting>
  <conditionalFormatting sqref="H67:H73">
    <cfRule type="expression" dxfId="269" priority="80">
      <formula>#REF!="AIR"</formula>
    </cfRule>
    <cfRule type="expression" dxfId="268" priority="79">
      <formula>#REF!="DIWATER"</formula>
    </cfRule>
    <cfRule type="expression" dxfId="267" priority="78">
      <formula>#REF!="COGEN"</formula>
    </cfRule>
    <cfRule type="expression" dxfId="266" priority="76">
      <formula>#REF!="ETC"</formula>
    </cfRule>
    <cfRule type="expression" dxfId="265" priority="77">
      <formula>#REF!="CITYGAS"</formula>
    </cfRule>
  </conditionalFormatting>
  <conditionalFormatting sqref="H74:H75">
    <cfRule type="expression" dxfId="264" priority="214">
      <formula>#REF!="DIWATER"</formula>
    </cfRule>
    <cfRule type="expression" dxfId="263" priority="213">
      <formula>#REF!="COGEN"</formula>
    </cfRule>
    <cfRule type="expression" dxfId="262" priority="212">
      <formula>#REF!="CITYGAS"</formula>
    </cfRule>
    <cfRule type="expression" dxfId="261" priority="211">
      <formula>#REF!="ETC"</formula>
    </cfRule>
    <cfRule type="expression" dxfId="260" priority="215">
      <formula>#REF!="AIR"</formula>
    </cfRule>
  </conditionalFormatting>
  <conditionalFormatting sqref="H75">
    <cfRule type="expression" dxfId="259" priority="197">
      <formula>#REF!="CITYGAS"</formula>
    </cfRule>
    <cfRule type="expression" dxfId="258" priority="198">
      <formula>#REF!="COGEN"</formula>
    </cfRule>
    <cfRule type="expression" dxfId="257" priority="196">
      <formula>#REF!="ETC"</formula>
    </cfRule>
    <cfRule type="expression" dxfId="256" priority="199">
      <formula>#REF!="DIWATER"</formula>
    </cfRule>
    <cfRule type="expression" dxfId="255" priority="200">
      <formula>#REF!="AIR"</formula>
    </cfRule>
  </conditionalFormatting>
  <conditionalFormatting sqref="H79">
    <cfRule type="expression" dxfId="254" priority="63">
      <formula>#REF!="DIWATER"</formula>
    </cfRule>
    <cfRule type="expression" dxfId="253" priority="61">
      <formula>#REF!="CITYGAS"</formula>
    </cfRule>
    <cfRule type="expression" dxfId="252" priority="60">
      <formula>#REF!="ETC"</formula>
    </cfRule>
    <cfRule type="expression" dxfId="251" priority="64">
      <formula>#REF!="AIR"</formula>
    </cfRule>
    <cfRule type="expression" dxfId="250" priority="62">
      <formula>#REF!="COGEN"</formula>
    </cfRule>
  </conditionalFormatting>
  <conditionalFormatting sqref="H80:H81">
    <cfRule type="expression" dxfId="249" priority="66">
      <formula>$C80="CITYGAS"</formula>
    </cfRule>
    <cfRule type="expression" dxfId="248" priority="67">
      <formula>$C80="WATER"</formula>
    </cfRule>
    <cfRule type="expression" dxfId="247" priority="68">
      <formula>$C80="DIWATER"</formula>
    </cfRule>
    <cfRule type="expression" dxfId="246" priority="69">
      <formula>$C80="AIR"</formula>
    </cfRule>
    <cfRule type="expression" dxfId="245" priority="65">
      <formula>$C80="ETC"</formula>
    </cfRule>
  </conditionalFormatting>
  <conditionalFormatting sqref="H87:H88 H92 H99:H101">
    <cfRule type="expression" dxfId="244" priority="47">
      <formula>$C87="WATER"</formula>
    </cfRule>
    <cfRule type="expression" dxfId="243" priority="49">
      <formula>$C87="AIR"</formula>
    </cfRule>
    <cfRule type="expression" dxfId="242" priority="48">
      <formula>$C87="DIWATER"</formula>
    </cfRule>
  </conditionalFormatting>
  <conditionalFormatting sqref="H87:H101 H103:H110">
    <cfRule type="expression" dxfId="241" priority="37">
      <formula>$C87="CITYGAS"</formula>
    </cfRule>
    <cfRule type="expression" dxfId="240" priority="36">
      <formula>$C87="ETC"</formula>
    </cfRule>
  </conditionalFormatting>
  <conditionalFormatting sqref="H89:H91">
    <cfRule type="expression" dxfId="239" priority="46">
      <formula>$C89="AIR"</formula>
    </cfRule>
    <cfRule type="expression" dxfId="238" priority="45">
      <formula>$C89="DIWATER"</formula>
    </cfRule>
    <cfRule type="expression" dxfId="237" priority="44">
      <formula>$C89="COGEN"</formula>
    </cfRule>
  </conditionalFormatting>
  <conditionalFormatting sqref="H93:H98">
    <cfRule type="expression" dxfId="236" priority="43">
      <formula>$C93="AIR"</formula>
    </cfRule>
    <cfRule type="expression" dxfId="235" priority="42">
      <formula>$C93="DIWATER"</formula>
    </cfRule>
    <cfRule type="expression" dxfId="234" priority="41">
      <formula>$C93="COGEN"</formula>
    </cfRule>
  </conditionalFormatting>
  <conditionalFormatting sqref="H103:H110">
    <cfRule type="expression" dxfId="233" priority="38">
      <formula>$C103="WATER"</formula>
    </cfRule>
    <cfRule type="expression" dxfId="232" priority="40">
      <formula>$C103="AIR"</formula>
    </cfRule>
    <cfRule type="expression" dxfId="231" priority="39">
      <formula>$C103="DIWATER"</formula>
    </cfRule>
  </conditionalFormatting>
  <conditionalFormatting sqref="J8">
    <cfRule type="expression" dxfId="230" priority="115">
      <formula>$C8="AIR"</formula>
    </cfRule>
    <cfRule type="expression" dxfId="229" priority="111">
      <formula>$C8="ETC"</formula>
    </cfRule>
    <cfRule type="expression" dxfId="228" priority="112">
      <formula>$C8="CITYGAS"</formula>
    </cfRule>
    <cfRule type="expression" dxfId="227" priority="113">
      <formula>$C8="COGEN"</formula>
    </cfRule>
    <cfRule type="expression" dxfId="226" priority="114">
      <formula>$C8="DIWATER"</formula>
    </cfRule>
  </conditionalFormatting>
  <conditionalFormatting sqref="J24">
    <cfRule type="expression" dxfId="225" priority="106">
      <formula>$C24="ETC"</formula>
    </cfRule>
    <cfRule type="expression" dxfId="224" priority="107">
      <formula>$C24="CITYGAS"</formula>
    </cfRule>
    <cfRule type="expression" dxfId="223" priority="108">
      <formula>$C24="COGEN"</formula>
    </cfRule>
    <cfRule type="expression" dxfId="222" priority="109">
      <formula>$C24="DIWATER"</formula>
    </cfRule>
    <cfRule type="expression" dxfId="221" priority="110">
      <formula>$C24="AIR"</formula>
    </cfRule>
  </conditionalFormatting>
  <conditionalFormatting sqref="J49">
    <cfRule type="expression" dxfId="220" priority="16">
      <formula>#REF!="ETC"</formula>
    </cfRule>
    <cfRule type="expression" dxfId="219" priority="19">
      <formula>#REF!="DIWATER"</formula>
    </cfRule>
    <cfRule type="expression" dxfId="218" priority="18">
      <formula>#REF!="COGEN"</formula>
    </cfRule>
    <cfRule type="expression" dxfId="217" priority="17">
      <formula>#REF!="CITYGAS"</formula>
    </cfRule>
    <cfRule type="expression" dxfId="216" priority="20">
      <formula>#REF!="AIR"</formula>
    </cfRule>
  </conditionalFormatting>
  <conditionalFormatting sqref="J50">
    <cfRule type="expression" dxfId="215" priority="95">
      <formula>$C50="AIR"</formula>
    </cfRule>
    <cfRule type="expression" dxfId="214" priority="91">
      <formula>$C50="ETC"</formula>
    </cfRule>
    <cfRule type="expression" dxfId="213" priority="92">
      <formula>$C50="CITYGAS"</formula>
    </cfRule>
    <cfRule type="expression" dxfId="212" priority="93">
      <formula>$C50="COGEN"</formula>
    </cfRule>
    <cfRule type="expression" dxfId="211" priority="94">
      <formula>$C50="DIWATER"</formula>
    </cfRule>
  </conditionalFormatting>
  <conditionalFormatting sqref="J51:J53 J55:J57 J60:J66">
    <cfRule type="expression" dxfId="210" priority="96">
      <formula>#REF!="ETC"</formula>
    </cfRule>
    <cfRule type="expression" dxfId="209" priority="97">
      <formula>#REF!="CITYGAS"</formula>
    </cfRule>
    <cfRule type="expression" dxfId="208" priority="98">
      <formula>#REF!="COGEN"</formula>
    </cfRule>
    <cfRule type="expression" dxfId="207" priority="99">
      <formula>#REF!="DIWATER"</formula>
    </cfRule>
    <cfRule type="expression" dxfId="206" priority="100">
      <formula>#REF!="AIR"</formula>
    </cfRule>
  </conditionalFormatting>
  <conditionalFormatting sqref="J54">
    <cfRule type="expression" dxfId="205" priority="87">
      <formula>$C54="CITYGAS"</formula>
    </cfRule>
    <cfRule type="expression" dxfId="204" priority="86">
      <formula>$C54="ETC"</formula>
    </cfRule>
    <cfRule type="expression" dxfId="203" priority="88">
      <formula>$C54="COGEN"</formula>
    </cfRule>
    <cfRule type="expression" dxfId="202" priority="89">
      <formula>$C54="DIWATER"</formula>
    </cfRule>
    <cfRule type="expression" dxfId="201" priority="90">
      <formula>$C54="AIR"</formula>
    </cfRule>
  </conditionalFormatting>
  <conditionalFormatting sqref="J58:J59">
    <cfRule type="expression" dxfId="200" priority="85">
      <formula>$C58="AIR"</formula>
    </cfRule>
    <cfRule type="expression" dxfId="199" priority="84">
      <formula>$C58="DIWATER"</formula>
    </cfRule>
    <cfRule type="expression" dxfId="198" priority="83">
      <formula>$C58="WATER"</formula>
    </cfRule>
    <cfRule type="expression" dxfId="197" priority="82">
      <formula>$C58="CITYGAS"</formula>
    </cfRule>
    <cfRule type="expression" dxfId="196" priority="81">
      <formula>$C58="ETC"</formula>
    </cfRule>
  </conditionalFormatting>
  <conditionalFormatting sqref="J68:J71">
    <cfRule type="expression" dxfId="195" priority="72">
      <formula>$C68="CITYGAS"</formula>
    </cfRule>
  </conditionalFormatting>
  <conditionalFormatting sqref="J68:J74">
    <cfRule type="expression" dxfId="194" priority="75">
      <formula>$C68="AIR"</formula>
    </cfRule>
    <cfRule type="expression" dxfId="193" priority="74">
      <formula>$C68="DIWATER"</formula>
    </cfRule>
    <cfRule type="expression" dxfId="192" priority="73">
      <formula>$C68="WATER"</formula>
    </cfRule>
    <cfRule type="expression" dxfId="191" priority="71">
      <formula>$C68="ETC"</formula>
    </cfRule>
  </conditionalFormatting>
  <conditionalFormatting sqref="J72:J74">
    <cfRule type="expression" dxfId="190" priority="70">
      <formula>$C72="CITYGAS"</formula>
    </cfRule>
  </conditionalFormatting>
  <conditionalFormatting sqref="J87:J92">
    <cfRule type="expression" dxfId="189" priority="35">
      <formula>$C87="AIR"</formula>
    </cfRule>
    <cfRule type="expression" dxfId="188" priority="34">
      <formula>$C87="DIWATER"</formula>
    </cfRule>
    <cfRule type="expression" dxfId="187" priority="33">
      <formula>$C87="WATER"</formula>
    </cfRule>
    <cfRule type="expression" dxfId="186" priority="32">
      <formula>$C87="CITYGAS"</formula>
    </cfRule>
    <cfRule type="expression" dxfId="185" priority="31">
      <formula>$C87="ETC"</formula>
    </cfRule>
  </conditionalFormatting>
  <pageMargins left="0.23622047244094491" right="0.23622047244094491" top="0.39370078740157483" bottom="0.39370078740157483" header="0" footer="0"/>
  <pageSetup paperSize="9" scale="58" fitToHeight="0" orientation="landscape" r:id="rId1"/>
  <rowBreaks count="1" manualBreakCount="1">
    <brk id="66" max="1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B112A-0A04-4B74-A4CE-6E7004ABC117}">
  <sheetPr>
    <pageSetUpPr fitToPage="1"/>
  </sheetPr>
  <dimension ref="A1:P111"/>
  <sheetViews>
    <sheetView tabSelected="1" zoomScale="85" zoomScaleNormal="85" zoomScaleSheetLayoutView="100" workbookViewId="0">
      <pane ySplit="1" topLeftCell="A44" activePane="bottomLeft" state="frozen"/>
      <selection activeCell="C1" sqref="C1"/>
      <selection pane="bottomLeft" activeCell="E56" sqref="E56"/>
    </sheetView>
  </sheetViews>
  <sheetFormatPr defaultColWidth="9" defaultRowHeight="16.5" x14ac:dyDescent="0.3"/>
  <cols>
    <col min="1" max="1" width="5" style="7" customWidth="1"/>
    <col min="2" max="2" width="9.875" style="1" customWidth="1"/>
    <col min="3" max="3" width="11.25" style="1" customWidth="1"/>
    <col min="4" max="4" width="12.125" style="7" customWidth="1"/>
    <col min="5" max="5" width="16.75" style="7" customWidth="1"/>
    <col min="6" max="6" width="16.75" style="1" customWidth="1"/>
    <col min="7" max="7" width="22.75" style="1" customWidth="1"/>
    <col min="8" max="8" width="38" style="7" customWidth="1"/>
    <col min="9" max="9" width="13.125" style="7" customWidth="1"/>
    <col min="10" max="11" width="13.125" style="8" customWidth="1"/>
    <col min="12" max="12" width="48.625" style="1" customWidth="1"/>
    <col min="13" max="13" width="14.625" style="1" bestFit="1" customWidth="1"/>
    <col min="14" max="14" width="9.25" style="1" bestFit="1" customWidth="1"/>
    <col min="15" max="15" width="17.375" style="7" customWidth="1"/>
    <col min="16" max="16" width="7.125" style="1" customWidth="1"/>
    <col min="17" max="16384" width="9" style="1"/>
  </cols>
  <sheetData>
    <row r="1" spans="1:16" ht="33" x14ac:dyDescent="0.3">
      <c r="A1" s="61" t="s">
        <v>28</v>
      </c>
      <c r="B1" s="62" t="s">
        <v>13</v>
      </c>
      <c r="C1" s="63" t="s">
        <v>26</v>
      </c>
      <c r="D1" s="64" t="s">
        <v>23</v>
      </c>
      <c r="E1" s="63" t="s">
        <v>22</v>
      </c>
      <c r="F1" s="63" t="s">
        <v>24</v>
      </c>
      <c r="G1" s="65" t="s">
        <v>33</v>
      </c>
      <c r="H1" s="62" t="s">
        <v>12</v>
      </c>
      <c r="I1" s="62" t="s">
        <v>194</v>
      </c>
      <c r="J1" s="62" t="s">
        <v>193</v>
      </c>
      <c r="K1" s="62" t="s">
        <v>316</v>
      </c>
      <c r="L1" s="62" t="s">
        <v>155</v>
      </c>
      <c r="M1" s="62" t="s">
        <v>11</v>
      </c>
      <c r="N1" s="63" t="s">
        <v>10</v>
      </c>
      <c r="O1" s="62" t="s">
        <v>9</v>
      </c>
      <c r="P1" s="66" t="s">
        <v>8</v>
      </c>
    </row>
    <row r="2" spans="1:16" x14ac:dyDescent="0.3">
      <c r="A2" s="49">
        <v>1</v>
      </c>
      <c r="B2" s="2" t="s">
        <v>30</v>
      </c>
      <c r="C2" s="2" t="s">
        <v>31</v>
      </c>
      <c r="D2" s="10" t="s">
        <v>29</v>
      </c>
      <c r="E2" s="10">
        <v>506</v>
      </c>
      <c r="F2" s="11" t="str">
        <f>$D2 &amp; $E2</f>
        <v>INV506</v>
      </c>
      <c r="G2" s="9">
        <v>485</v>
      </c>
      <c r="H2" s="4" t="s">
        <v>44</v>
      </c>
      <c r="I2" s="4"/>
      <c r="J2" s="4"/>
      <c r="K2" s="4">
        <v>485</v>
      </c>
      <c r="L2" s="2"/>
      <c r="M2" s="5"/>
      <c r="N2" s="5"/>
      <c r="O2" s="2"/>
      <c r="P2" s="50"/>
    </row>
    <row r="3" spans="1:16" x14ac:dyDescent="0.3">
      <c r="A3" s="49">
        <v>2</v>
      </c>
      <c r="B3" s="2" t="s">
        <v>30</v>
      </c>
      <c r="C3" s="2" t="s">
        <v>31</v>
      </c>
      <c r="D3" s="10" t="s">
        <v>145</v>
      </c>
      <c r="E3" s="10">
        <v>500</v>
      </c>
      <c r="F3" s="11" t="str">
        <f>$D3 &amp; $E3</f>
        <v>LCD500</v>
      </c>
      <c r="G3" s="9">
        <v>485</v>
      </c>
      <c r="H3" s="4" t="s">
        <v>146</v>
      </c>
      <c r="I3" s="4"/>
      <c r="J3" s="4"/>
      <c r="K3" s="4">
        <v>485</v>
      </c>
      <c r="L3" s="2"/>
      <c r="M3" s="5"/>
      <c r="N3" s="5"/>
      <c r="O3" s="2"/>
      <c r="P3" s="50"/>
    </row>
    <row r="4" spans="1:16" x14ac:dyDescent="0.3">
      <c r="A4" s="49">
        <v>3</v>
      </c>
      <c r="B4" s="2" t="s">
        <v>30</v>
      </c>
      <c r="C4" s="2" t="s">
        <v>31</v>
      </c>
      <c r="D4" s="10" t="s">
        <v>34</v>
      </c>
      <c r="E4" s="10">
        <v>382</v>
      </c>
      <c r="F4" s="11" t="str">
        <f>$D4 &amp; $E4</f>
        <v>FM382</v>
      </c>
      <c r="G4" s="9">
        <v>485</v>
      </c>
      <c r="H4" s="4" t="s">
        <v>147</v>
      </c>
      <c r="I4" s="4"/>
      <c r="J4" s="4"/>
      <c r="K4" s="4">
        <v>485</v>
      </c>
      <c r="L4" s="2" t="s">
        <v>148</v>
      </c>
      <c r="M4" s="5"/>
      <c r="N4" s="5"/>
      <c r="O4" s="2"/>
      <c r="P4" s="50"/>
    </row>
    <row r="5" spans="1:16" x14ac:dyDescent="0.3">
      <c r="A5" s="49">
        <v>4</v>
      </c>
      <c r="B5" s="2" t="s">
        <v>30</v>
      </c>
      <c r="C5" s="2" t="s">
        <v>31</v>
      </c>
      <c r="D5" s="10"/>
      <c r="E5" s="10"/>
      <c r="F5" s="11"/>
      <c r="G5" s="9">
        <v>422</v>
      </c>
      <c r="H5" s="4" t="s">
        <v>180</v>
      </c>
      <c r="I5" s="136"/>
      <c r="J5" s="4"/>
      <c r="K5" s="4">
        <v>422</v>
      </c>
      <c r="L5" s="2"/>
      <c r="M5" s="5"/>
      <c r="N5" s="5"/>
      <c r="O5" s="2"/>
      <c r="P5" s="50"/>
    </row>
    <row r="6" spans="1:16" x14ac:dyDescent="0.3">
      <c r="A6" s="49"/>
      <c r="B6" s="2"/>
      <c r="C6" s="2"/>
      <c r="D6" s="10"/>
      <c r="E6" s="10"/>
      <c r="F6" s="11"/>
      <c r="G6" s="9"/>
      <c r="H6" s="4"/>
      <c r="I6" s="136"/>
      <c r="J6" s="4"/>
      <c r="K6" s="4"/>
      <c r="L6" s="2"/>
      <c r="M6" s="5"/>
      <c r="N6" s="5"/>
      <c r="O6" s="2"/>
      <c r="P6" s="50"/>
    </row>
    <row r="7" spans="1:16" ht="17.25" thickBot="1" x14ac:dyDescent="0.35">
      <c r="A7" s="51"/>
      <c r="B7" s="67"/>
      <c r="C7" s="67"/>
      <c r="D7" s="68"/>
      <c r="E7" s="68"/>
      <c r="F7" s="69"/>
      <c r="G7" s="70"/>
      <c r="H7" s="24"/>
      <c r="I7" s="142"/>
      <c r="J7" s="71"/>
      <c r="K7" s="71"/>
      <c r="L7" s="67"/>
      <c r="M7" s="72"/>
      <c r="N7" s="72"/>
      <c r="O7" s="67"/>
      <c r="P7" s="73"/>
    </row>
    <row r="8" spans="1:16" x14ac:dyDescent="0.3">
      <c r="A8" s="41">
        <v>1</v>
      </c>
      <c r="B8" s="42" t="s">
        <v>45</v>
      </c>
      <c r="C8" s="42" t="s">
        <v>25</v>
      </c>
      <c r="D8" s="42" t="s">
        <v>16</v>
      </c>
      <c r="E8" s="43">
        <v>181</v>
      </c>
      <c r="F8" s="43" t="str">
        <f t="shared" ref="F8:F19" si="0">$D8 &amp; $E8</f>
        <v>TC181</v>
      </c>
      <c r="G8" s="44" t="s">
        <v>54</v>
      </c>
      <c r="H8" s="124" t="s">
        <v>56</v>
      </c>
      <c r="I8" s="143"/>
      <c r="J8" s="45" t="s">
        <v>304</v>
      </c>
      <c r="K8" s="149"/>
      <c r="L8" s="189" t="s">
        <v>149</v>
      </c>
      <c r="M8" s="46"/>
      <c r="N8" s="47"/>
      <c r="O8" s="42"/>
      <c r="P8" s="48"/>
    </row>
    <row r="9" spans="1:16" x14ac:dyDescent="0.3">
      <c r="A9" s="49">
        <v>2</v>
      </c>
      <c r="B9" s="2" t="s">
        <v>45</v>
      </c>
      <c r="C9" s="2" t="s">
        <v>25</v>
      </c>
      <c r="D9" s="2" t="s">
        <v>16</v>
      </c>
      <c r="E9" s="13">
        <v>182</v>
      </c>
      <c r="F9" s="13" t="str">
        <f t="shared" si="0"/>
        <v>TC182</v>
      </c>
      <c r="G9" s="3" t="s">
        <v>54</v>
      </c>
      <c r="H9" s="122" t="s">
        <v>57</v>
      </c>
      <c r="I9" s="144"/>
      <c r="J9" s="4" t="s">
        <v>305</v>
      </c>
      <c r="K9" s="33"/>
      <c r="L9" s="191"/>
      <c r="M9" s="6"/>
      <c r="N9" s="5"/>
      <c r="O9" s="2"/>
      <c r="P9" s="50"/>
    </row>
    <row r="10" spans="1:16" x14ac:dyDescent="0.3">
      <c r="A10" s="49">
        <v>3</v>
      </c>
      <c r="B10" s="2" t="s">
        <v>45</v>
      </c>
      <c r="C10" s="2" t="s">
        <v>25</v>
      </c>
      <c r="D10" s="2" t="s">
        <v>16</v>
      </c>
      <c r="E10" s="22">
        <v>183</v>
      </c>
      <c r="F10" s="13" t="str">
        <f t="shared" si="0"/>
        <v>TC183</v>
      </c>
      <c r="G10" s="3" t="s">
        <v>54</v>
      </c>
      <c r="H10" s="122" t="s">
        <v>58</v>
      </c>
      <c r="I10" s="144"/>
      <c r="J10" s="4" t="s">
        <v>306</v>
      </c>
      <c r="K10" s="33"/>
      <c r="L10" s="191"/>
      <c r="M10" s="6"/>
      <c r="N10" s="5"/>
      <c r="O10" s="2"/>
      <c r="P10" s="50"/>
    </row>
    <row r="11" spans="1:16" x14ac:dyDescent="0.3">
      <c r="A11" s="49">
        <v>4</v>
      </c>
      <c r="B11" s="2" t="s">
        <v>45</v>
      </c>
      <c r="C11" s="2" t="s">
        <v>25</v>
      </c>
      <c r="D11" s="2" t="s">
        <v>16</v>
      </c>
      <c r="E11" s="13">
        <v>184</v>
      </c>
      <c r="F11" s="13" t="str">
        <f t="shared" si="0"/>
        <v>TC184</v>
      </c>
      <c r="G11" s="3" t="s">
        <v>54</v>
      </c>
      <c r="H11" s="122" t="s">
        <v>59</v>
      </c>
      <c r="I11" s="144"/>
      <c r="J11" s="4" t="s">
        <v>307</v>
      </c>
      <c r="K11" s="33"/>
      <c r="L11" s="191"/>
      <c r="M11" s="6"/>
      <c r="N11" s="5"/>
      <c r="O11" s="2"/>
      <c r="P11" s="50"/>
    </row>
    <row r="12" spans="1:16" x14ac:dyDescent="0.3">
      <c r="A12" s="49">
        <v>5</v>
      </c>
      <c r="B12" s="2" t="s">
        <v>45</v>
      </c>
      <c r="C12" s="2" t="s">
        <v>25</v>
      </c>
      <c r="D12" s="2" t="s">
        <v>16</v>
      </c>
      <c r="E12" s="22">
        <v>185</v>
      </c>
      <c r="F12" s="13" t="str">
        <f t="shared" si="0"/>
        <v>TC185</v>
      </c>
      <c r="G12" s="3" t="s">
        <v>54</v>
      </c>
      <c r="H12" s="122" t="s">
        <v>84</v>
      </c>
      <c r="I12" s="144"/>
      <c r="J12" s="4" t="s">
        <v>308</v>
      </c>
      <c r="K12" s="33"/>
      <c r="L12" s="191"/>
      <c r="M12" s="6"/>
      <c r="N12" s="5"/>
      <c r="O12" s="2"/>
      <c r="P12" s="50"/>
    </row>
    <row r="13" spans="1:16" x14ac:dyDescent="0.3">
      <c r="A13" s="49">
        <v>6</v>
      </c>
      <c r="B13" s="2" t="s">
        <v>45</v>
      </c>
      <c r="C13" s="2" t="s">
        <v>25</v>
      </c>
      <c r="D13" s="2" t="s">
        <v>16</v>
      </c>
      <c r="E13" s="13">
        <v>186</v>
      </c>
      <c r="F13" s="13" t="str">
        <f t="shared" si="0"/>
        <v>TC186</v>
      </c>
      <c r="G13" s="3" t="s">
        <v>54</v>
      </c>
      <c r="H13" s="122" t="s">
        <v>85</v>
      </c>
      <c r="I13" s="144"/>
      <c r="J13" s="4" t="s">
        <v>309</v>
      </c>
      <c r="K13" s="33"/>
      <c r="L13" s="191"/>
      <c r="M13" s="6"/>
      <c r="N13" s="5"/>
      <c r="O13" s="2"/>
      <c r="P13" s="50"/>
    </row>
    <row r="14" spans="1:16" x14ac:dyDescent="0.3">
      <c r="A14" s="49">
        <v>7</v>
      </c>
      <c r="B14" s="2" t="s">
        <v>45</v>
      </c>
      <c r="C14" s="2" t="s">
        <v>25</v>
      </c>
      <c r="D14" s="2" t="s">
        <v>16</v>
      </c>
      <c r="E14" s="22">
        <v>187</v>
      </c>
      <c r="F14" s="13" t="str">
        <f t="shared" si="0"/>
        <v>TC187</v>
      </c>
      <c r="G14" s="3" t="s">
        <v>54</v>
      </c>
      <c r="H14" s="125" t="s">
        <v>191</v>
      </c>
      <c r="I14" s="145"/>
      <c r="J14" s="4" t="s">
        <v>310</v>
      </c>
      <c r="K14" s="33"/>
      <c r="L14" s="191"/>
      <c r="M14" s="6"/>
      <c r="N14" s="5"/>
      <c r="O14" s="2"/>
      <c r="P14" s="50"/>
    </row>
    <row r="15" spans="1:16" x14ac:dyDescent="0.3">
      <c r="A15" s="49">
        <v>8</v>
      </c>
      <c r="B15" s="2" t="s">
        <v>45</v>
      </c>
      <c r="C15" s="2" t="s">
        <v>25</v>
      </c>
      <c r="D15" s="2" t="s">
        <v>16</v>
      </c>
      <c r="E15" s="13">
        <v>188</v>
      </c>
      <c r="F15" s="13" t="str">
        <f t="shared" si="0"/>
        <v>TC188</v>
      </c>
      <c r="G15" s="3" t="s">
        <v>54</v>
      </c>
      <c r="H15" s="122" t="s">
        <v>60</v>
      </c>
      <c r="I15" s="144"/>
      <c r="J15" s="4" t="s">
        <v>311</v>
      </c>
      <c r="K15" s="33"/>
      <c r="L15" s="191"/>
      <c r="M15" s="6"/>
      <c r="N15" s="5"/>
      <c r="O15" s="2"/>
      <c r="P15" s="50"/>
    </row>
    <row r="16" spans="1:16" x14ac:dyDescent="0.3">
      <c r="A16" s="49">
        <v>9</v>
      </c>
      <c r="B16" s="2" t="s">
        <v>45</v>
      </c>
      <c r="C16" s="2" t="s">
        <v>25</v>
      </c>
      <c r="D16" s="2" t="s">
        <v>25</v>
      </c>
      <c r="E16" s="22">
        <v>189</v>
      </c>
      <c r="F16" s="13" t="str">
        <f t="shared" si="0"/>
        <v>TC189</v>
      </c>
      <c r="G16" s="3" t="s">
        <v>54</v>
      </c>
      <c r="H16" s="122" t="s">
        <v>86</v>
      </c>
      <c r="I16" s="144"/>
      <c r="J16" s="4" t="s">
        <v>312</v>
      </c>
      <c r="K16" s="33"/>
      <c r="L16" s="191"/>
      <c r="M16" s="6"/>
      <c r="N16" s="5"/>
      <c r="O16" s="2"/>
      <c r="P16" s="50"/>
    </row>
    <row r="17" spans="1:16" x14ac:dyDescent="0.3">
      <c r="A17" s="49">
        <v>10</v>
      </c>
      <c r="B17" s="2" t="s">
        <v>45</v>
      </c>
      <c r="C17" s="2" t="s">
        <v>25</v>
      </c>
      <c r="D17" s="2" t="s">
        <v>16</v>
      </c>
      <c r="E17" s="13">
        <v>190</v>
      </c>
      <c r="F17" s="13" t="str">
        <f t="shared" si="0"/>
        <v>TC190</v>
      </c>
      <c r="G17" s="3" t="s">
        <v>54</v>
      </c>
      <c r="H17" s="122" t="s">
        <v>61</v>
      </c>
      <c r="I17" s="144"/>
      <c r="J17" s="4" t="s">
        <v>313</v>
      </c>
      <c r="K17" s="33"/>
      <c r="L17" s="191"/>
      <c r="M17" s="6"/>
      <c r="N17" s="5"/>
      <c r="O17" s="2"/>
      <c r="P17" s="50"/>
    </row>
    <row r="18" spans="1:16" x14ac:dyDescent="0.3">
      <c r="A18" s="49">
        <v>11</v>
      </c>
      <c r="B18" s="2" t="s">
        <v>45</v>
      </c>
      <c r="C18" s="2" t="s">
        <v>25</v>
      </c>
      <c r="D18" s="2" t="s">
        <v>16</v>
      </c>
      <c r="E18" s="22">
        <v>191</v>
      </c>
      <c r="F18" s="13" t="str">
        <f t="shared" si="0"/>
        <v>TC191</v>
      </c>
      <c r="G18" s="3" t="s">
        <v>54</v>
      </c>
      <c r="H18" s="122" t="s">
        <v>88</v>
      </c>
      <c r="I18" s="144"/>
      <c r="J18" s="4" t="s">
        <v>314</v>
      </c>
      <c r="K18" s="33"/>
      <c r="L18" s="191"/>
      <c r="M18" s="6"/>
      <c r="N18" s="5"/>
      <c r="O18" s="2"/>
      <c r="P18" s="50"/>
    </row>
    <row r="19" spans="1:16" x14ac:dyDescent="0.3">
      <c r="A19" s="49">
        <v>12</v>
      </c>
      <c r="B19" s="2" t="s">
        <v>45</v>
      </c>
      <c r="C19" s="2" t="s">
        <v>25</v>
      </c>
      <c r="D19" s="2" t="s">
        <v>16</v>
      </c>
      <c r="E19" s="22">
        <v>192</v>
      </c>
      <c r="F19" s="13" t="str">
        <f t="shared" si="0"/>
        <v>TC192</v>
      </c>
      <c r="G19" s="3" t="s">
        <v>54</v>
      </c>
      <c r="H19" s="122" t="s">
        <v>62</v>
      </c>
      <c r="I19" s="144"/>
      <c r="J19" s="4" t="s">
        <v>315</v>
      </c>
      <c r="K19" s="24"/>
      <c r="L19" s="192"/>
      <c r="M19" s="6"/>
      <c r="N19" s="5"/>
      <c r="O19" s="2"/>
      <c r="P19" s="50"/>
    </row>
    <row r="20" spans="1:16" x14ac:dyDescent="0.3">
      <c r="A20" s="49">
        <v>13</v>
      </c>
      <c r="B20" s="2" t="s">
        <v>45</v>
      </c>
      <c r="C20" s="2"/>
      <c r="D20" s="2"/>
      <c r="E20" s="22"/>
      <c r="F20" s="13"/>
      <c r="G20" s="3"/>
      <c r="H20" s="186" t="s">
        <v>100</v>
      </c>
      <c r="I20" s="146"/>
      <c r="J20" s="4"/>
      <c r="K20" s="4"/>
      <c r="L20" s="4"/>
      <c r="M20" s="6"/>
      <c r="N20" s="5"/>
      <c r="O20" s="2"/>
      <c r="P20" s="50"/>
    </row>
    <row r="21" spans="1:16" x14ac:dyDescent="0.3">
      <c r="A21" s="49">
        <v>14</v>
      </c>
      <c r="B21" s="2" t="s">
        <v>45</v>
      </c>
      <c r="C21" s="2"/>
      <c r="D21" s="2"/>
      <c r="E21" s="22"/>
      <c r="F21" s="13"/>
      <c r="G21" s="3"/>
      <c r="H21" s="187"/>
      <c r="I21" s="127"/>
      <c r="J21" s="4"/>
      <c r="K21" s="4"/>
      <c r="L21" s="4"/>
      <c r="M21" s="6"/>
      <c r="N21" s="5"/>
      <c r="O21" s="2"/>
      <c r="P21" s="50"/>
    </row>
    <row r="22" spans="1:16" ht="17.25" thickBot="1" x14ac:dyDescent="0.35">
      <c r="A22" s="51">
        <v>15</v>
      </c>
      <c r="B22" s="52" t="s">
        <v>45</v>
      </c>
      <c r="C22" s="52"/>
      <c r="D22" s="52"/>
      <c r="E22" s="53"/>
      <c r="F22" s="54"/>
      <c r="G22" s="55"/>
      <c r="H22" s="188"/>
      <c r="I22" s="128"/>
      <c r="J22" s="57"/>
      <c r="K22" s="57"/>
      <c r="L22" s="57"/>
      <c r="M22" s="58"/>
      <c r="N22" s="59"/>
      <c r="O22" s="52"/>
      <c r="P22" s="60"/>
    </row>
    <row r="23" spans="1:16" ht="17.25" thickBot="1" x14ac:dyDescent="0.35">
      <c r="A23" s="34"/>
      <c r="B23" s="34"/>
      <c r="C23" s="34"/>
      <c r="D23" s="34"/>
      <c r="E23" s="74"/>
      <c r="F23" s="74"/>
      <c r="G23" s="75"/>
      <c r="H23" s="76"/>
      <c r="I23" s="147"/>
      <c r="J23" s="101"/>
      <c r="K23" s="33"/>
      <c r="L23" s="33"/>
      <c r="M23" s="37"/>
      <c r="N23" s="38"/>
      <c r="O23" s="34"/>
      <c r="P23" s="38"/>
    </row>
    <row r="24" spans="1:16" x14ac:dyDescent="0.3">
      <c r="A24" s="41">
        <v>1</v>
      </c>
      <c r="B24" s="42" t="s">
        <v>7</v>
      </c>
      <c r="C24" s="42" t="s">
        <v>25</v>
      </c>
      <c r="D24" s="42" t="s">
        <v>16</v>
      </c>
      <c r="E24" s="43">
        <v>104</v>
      </c>
      <c r="F24" s="43" t="str">
        <f>$D24 &amp; $E24</f>
        <v>TC104</v>
      </c>
      <c r="G24" s="44" t="s">
        <v>55</v>
      </c>
      <c r="H24" s="116" t="s">
        <v>36</v>
      </c>
      <c r="I24" s="135"/>
      <c r="J24" s="24" t="s">
        <v>285</v>
      </c>
      <c r="K24" s="33"/>
      <c r="L24" s="189" t="s">
        <v>150</v>
      </c>
      <c r="M24" s="46"/>
      <c r="N24" s="47"/>
      <c r="O24" s="42"/>
      <c r="P24" s="48"/>
    </row>
    <row r="25" spans="1:16" x14ac:dyDescent="0.3">
      <c r="A25" s="49">
        <v>2</v>
      </c>
      <c r="B25" s="2" t="s">
        <v>7</v>
      </c>
      <c r="C25" s="2" t="s">
        <v>25</v>
      </c>
      <c r="D25" s="2" t="s">
        <v>16</v>
      </c>
      <c r="E25" s="13">
        <v>115</v>
      </c>
      <c r="F25" s="13" t="str">
        <f t="shared" ref="F25:F42" si="1">$D25 &amp; $E25</f>
        <v>TC115</v>
      </c>
      <c r="G25" s="3" t="s">
        <v>55</v>
      </c>
      <c r="H25" s="119" t="s">
        <v>37</v>
      </c>
      <c r="I25" s="126"/>
      <c r="J25" s="4" t="s">
        <v>286</v>
      </c>
      <c r="K25" s="33"/>
      <c r="L25" s="191"/>
      <c r="M25" s="6"/>
      <c r="N25" s="5"/>
      <c r="O25" s="2"/>
      <c r="P25" s="50"/>
    </row>
    <row r="26" spans="1:16" x14ac:dyDescent="0.3">
      <c r="A26" s="49">
        <v>3</v>
      </c>
      <c r="B26" s="2" t="s">
        <v>7</v>
      </c>
      <c r="C26" s="2" t="s">
        <v>25</v>
      </c>
      <c r="D26" s="2" t="s">
        <v>25</v>
      </c>
      <c r="E26" s="13">
        <v>133</v>
      </c>
      <c r="F26" s="13" t="str">
        <f t="shared" si="1"/>
        <v>TC133</v>
      </c>
      <c r="G26" s="3" t="s">
        <v>55</v>
      </c>
      <c r="H26" s="119" t="s">
        <v>151</v>
      </c>
      <c r="I26" s="126"/>
      <c r="J26" s="4" t="s">
        <v>287</v>
      </c>
      <c r="K26" s="33"/>
      <c r="L26" s="191"/>
      <c r="M26" s="6"/>
      <c r="N26" s="5"/>
      <c r="O26" s="2"/>
      <c r="P26" s="50"/>
    </row>
    <row r="27" spans="1:16" x14ac:dyDescent="0.3">
      <c r="A27" s="49">
        <v>4</v>
      </c>
      <c r="B27" s="2" t="s">
        <v>7</v>
      </c>
      <c r="C27" s="2" t="s">
        <v>25</v>
      </c>
      <c r="D27" s="2" t="s">
        <v>25</v>
      </c>
      <c r="E27" s="13">
        <v>147</v>
      </c>
      <c r="F27" s="13" t="str">
        <f t="shared" si="1"/>
        <v>TC147</v>
      </c>
      <c r="G27" s="3" t="s">
        <v>55</v>
      </c>
      <c r="H27" s="119" t="s">
        <v>152</v>
      </c>
      <c r="I27" s="126"/>
      <c r="J27" s="4" t="s">
        <v>288</v>
      </c>
      <c r="K27" s="33"/>
      <c r="L27" s="191"/>
      <c r="M27" s="6"/>
      <c r="N27" s="5"/>
      <c r="O27" s="2"/>
      <c r="P27" s="50"/>
    </row>
    <row r="28" spans="1:16" x14ac:dyDescent="0.3">
      <c r="A28" s="49">
        <v>5</v>
      </c>
      <c r="B28" s="2" t="s">
        <v>7</v>
      </c>
      <c r="C28" s="2" t="s">
        <v>25</v>
      </c>
      <c r="D28" s="2" t="s">
        <v>25</v>
      </c>
      <c r="E28" s="13">
        <v>157</v>
      </c>
      <c r="F28" s="13" t="str">
        <f t="shared" si="1"/>
        <v>TC157</v>
      </c>
      <c r="G28" s="3" t="s">
        <v>55</v>
      </c>
      <c r="H28" s="119" t="s">
        <v>53</v>
      </c>
      <c r="I28" s="126"/>
      <c r="J28" s="4" t="s">
        <v>289</v>
      </c>
      <c r="K28" s="33"/>
      <c r="L28" s="191"/>
      <c r="M28" s="6"/>
      <c r="N28" s="5"/>
      <c r="O28" s="2"/>
      <c r="P28" s="50"/>
    </row>
    <row r="29" spans="1:16" x14ac:dyDescent="0.3">
      <c r="A29" s="49">
        <v>6</v>
      </c>
      <c r="B29" s="2" t="s">
        <v>7</v>
      </c>
      <c r="C29" s="2" t="s">
        <v>25</v>
      </c>
      <c r="D29" s="2" t="s">
        <v>25</v>
      </c>
      <c r="E29" s="13">
        <v>162</v>
      </c>
      <c r="F29" s="13" t="str">
        <f t="shared" si="1"/>
        <v>TC162</v>
      </c>
      <c r="G29" s="3" t="s">
        <v>55</v>
      </c>
      <c r="H29" s="122" t="s">
        <v>63</v>
      </c>
      <c r="I29" s="144"/>
      <c r="J29" s="4" t="s">
        <v>290</v>
      </c>
      <c r="K29" s="33"/>
      <c r="L29" s="191"/>
      <c r="M29" s="6"/>
      <c r="N29" s="5"/>
      <c r="O29" s="2"/>
      <c r="P29" s="50"/>
    </row>
    <row r="30" spans="1:16" x14ac:dyDescent="0.3">
      <c r="A30" s="49">
        <v>7</v>
      </c>
      <c r="B30" s="2" t="s">
        <v>7</v>
      </c>
      <c r="C30" s="2" t="s">
        <v>25</v>
      </c>
      <c r="D30" s="2" t="s">
        <v>25</v>
      </c>
      <c r="E30" s="13">
        <v>214</v>
      </c>
      <c r="F30" s="13" t="str">
        <f t="shared" si="1"/>
        <v>TC214</v>
      </c>
      <c r="G30" s="3" t="s">
        <v>55</v>
      </c>
      <c r="H30" s="122" t="s">
        <v>64</v>
      </c>
      <c r="I30" s="144"/>
      <c r="J30" s="4" t="s">
        <v>291</v>
      </c>
      <c r="K30" s="33"/>
      <c r="L30" s="191"/>
      <c r="M30" s="6"/>
      <c r="N30" s="5"/>
      <c r="O30" s="2"/>
      <c r="P30" s="50"/>
    </row>
    <row r="31" spans="1:16" x14ac:dyDescent="0.3">
      <c r="A31" s="49">
        <v>8</v>
      </c>
      <c r="B31" s="2" t="s">
        <v>7</v>
      </c>
      <c r="C31" s="2" t="s">
        <v>25</v>
      </c>
      <c r="D31" s="2" t="s">
        <v>25</v>
      </c>
      <c r="E31" s="2">
        <v>215</v>
      </c>
      <c r="F31" s="13" t="str">
        <f t="shared" si="1"/>
        <v>TC215</v>
      </c>
      <c r="G31" s="3" t="s">
        <v>55</v>
      </c>
      <c r="H31" s="123" t="s">
        <v>112</v>
      </c>
      <c r="I31" s="148"/>
      <c r="J31" s="4" t="s">
        <v>292</v>
      </c>
      <c r="K31" s="33"/>
      <c r="L31" s="191"/>
      <c r="M31" s="6"/>
      <c r="N31" s="5"/>
      <c r="O31" s="2"/>
      <c r="P31" s="50"/>
    </row>
    <row r="32" spans="1:16" x14ac:dyDescent="0.3">
      <c r="A32" s="49">
        <v>9</v>
      </c>
      <c r="B32" s="2" t="s">
        <v>7</v>
      </c>
      <c r="C32" s="2" t="s">
        <v>25</v>
      </c>
      <c r="D32" s="2" t="s">
        <v>16</v>
      </c>
      <c r="E32" s="13">
        <v>312</v>
      </c>
      <c r="F32" s="13" t="str">
        <f t="shared" si="1"/>
        <v>TC312</v>
      </c>
      <c r="G32" s="3" t="s">
        <v>55</v>
      </c>
      <c r="H32" s="119" t="s">
        <v>113</v>
      </c>
      <c r="I32" s="126"/>
      <c r="J32" s="4" t="s">
        <v>293</v>
      </c>
      <c r="K32" s="33"/>
      <c r="L32" s="191"/>
      <c r="M32" s="6"/>
      <c r="N32" s="5"/>
      <c r="O32" s="2"/>
      <c r="P32" s="50"/>
    </row>
    <row r="33" spans="1:16" x14ac:dyDescent="0.3">
      <c r="A33" s="49">
        <v>10</v>
      </c>
      <c r="B33" s="2" t="s">
        <v>7</v>
      </c>
      <c r="C33" s="2" t="s">
        <v>25</v>
      </c>
      <c r="D33" s="2" t="s">
        <v>16</v>
      </c>
      <c r="E33" s="13">
        <v>316</v>
      </c>
      <c r="F33" s="13" t="str">
        <f t="shared" si="1"/>
        <v>TC316</v>
      </c>
      <c r="G33" s="3" t="s">
        <v>55</v>
      </c>
      <c r="H33" s="119" t="s">
        <v>154</v>
      </c>
      <c r="I33" s="126"/>
      <c r="J33" s="4" t="s">
        <v>294</v>
      </c>
      <c r="K33" s="33"/>
      <c r="L33" s="191"/>
      <c r="M33" s="6"/>
      <c r="N33" s="5"/>
      <c r="O33" s="2"/>
      <c r="P33" s="50"/>
    </row>
    <row r="34" spans="1:16" x14ac:dyDescent="0.3">
      <c r="A34" s="49">
        <v>11</v>
      </c>
      <c r="B34" s="2" t="s">
        <v>7</v>
      </c>
      <c r="C34" s="2" t="s">
        <v>25</v>
      </c>
      <c r="D34" s="2" t="s">
        <v>16</v>
      </c>
      <c r="E34" s="13">
        <v>322</v>
      </c>
      <c r="F34" s="13" t="str">
        <f t="shared" si="1"/>
        <v>TC322</v>
      </c>
      <c r="G34" s="3" t="s">
        <v>55</v>
      </c>
      <c r="H34" s="119" t="s">
        <v>114</v>
      </c>
      <c r="I34" s="126"/>
      <c r="J34" s="4" t="s">
        <v>295</v>
      </c>
      <c r="K34" s="33"/>
      <c r="L34" s="191"/>
      <c r="M34" s="6"/>
      <c r="N34" s="5"/>
      <c r="O34" s="2"/>
      <c r="P34" s="50"/>
    </row>
    <row r="35" spans="1:16" x14ac:dyDescent="0.3">
      <c r="A35" s="49">
        <v>12</v>
      </c>
      <c r="B35" s="2" t="s">
        <v>7</v>
      </c>
      <c r="C35" s="2" t="s">
        <v>25</v>
      </c>
      <c r="D35" s="2" t="s">
        <v>16</v>
      </c>
      <c r="E35" s="13">
        <v>343</v>
      </c>
      <c r="F35" s="13" t="str">
        <f t="shared" si="1"/>
        <v>TC343</v>
      </c>
      <c r="G35" s="3" t="s">
        <v>55</v>
      </c>
      <c r="H35" s="119" t="s">
        <v>118</v>
      </c>
      <c r="I35" s="126"/>
      <c r="J35" s="4" t="s">
        <v>296</v>
      </c>
      <c r="K35" s="33"/>
      <c r="L35" s="191"/>
      <c r="M35" s="6"/>
      <c r="N35" s="5"/>
      <c r="O35" s="2"/>
      <c r="P35" s="50"/>
    </row>
    <row r="36" spans="1:16" x14ac:dyDescent="0.3">
      <c r="A36" s="49">
        <v>13</v>
      </c>
      <c r="B36" s="2" t="s">
        <v>7</v>
      </c>
      <c r="C36" s="2" t="s">
        <v>25</v>
      </c>
      <c r="D36" s="2" t="s">
        <v>16</v>
      </c>
      <c r="E36" s="13">
        <v>344</v>
      </c>
      <c r="F36" s="13" t="str">
        <f t="shared" si="1"/>
        <v>TC344</v>
      </c>
      <c r="G36" s="3" t="s">
        <v>55</v>
      </c>
      <c r="H36" s="119" t="s">
        <v>119</v>
      </c>
      <c r="I36" s="126"/>
      <c r="J36" s="4" t="s">
        <v>297</v>
      </c>
      <c r="K36" s="33"/>
      <c r="L36" s="191"/>
      <c r="M36" s="6"/>
      <c r="N36" s="5"/>
      <c r="O36" s="2"/>
      <c r="P36" s="50"/>
    </row>
    <row r="37" spans="1:16" x14ac:dyDescent="0.3">
      <c r="A37" s="49">
        <v>14</v>
      </c>
      <c r="B37" s="2" t="s">
        <v>7</v>
      </c>
      <c r="C37" s="2" t="s">
        <v>25</v>
      </c>
      <c r="D37" s="2" t="s">
        <v>16</v>
      </c>
      <c r="E37" s="13">
        <v>353</v>
      </c>
      <c r="F37" s="13" t="str">
        <f t="shared" si="1"/>
        <v>TC353</v>
      </c>
      <c r="G37" s="3" t="s">
        <v>55</v>
      </c>
      <c r="H37" s="119" t="s">
        <v>115</v>
      </c>
      <c r="I37" s="126"/>
      <c r="J37" s="4" t="s">
        <v>298</v>
      </c>
      <c r="K37" s="33"/>
      <c r="L37" s="191"/>
      <c r="M37" s="6"/>
      <c r="N37" s="5"/>
      <c r="O37" s="2"/>
      <c r="P37" s="50"/>
    </row>
    <row r="38" spans="1:16" x14ac:dyDescent="0.3">
      <c r="A38" s="49">
        <v>15</v>
      </c>
      <c r="B38" s="2" t="s">
        <v>7</v>
      </c>
      <c r="C38" s="2" t="s">
        <v>25</v>
      </c>
      <c r="D38" s="2" t="s">
        <v>16</v>
      </c>
      <c r="E38" s="13">
        <v>372</v>
      </c>
      <c r="F38" s="13" t="str">
        <f t="shared" si="1"/>
        <v>TC372</v>
      </c>
      <c r="G38" s="3" t="s">
        <v>55</v>
      </c>
      <c r="H38" s="119" t="s">
        <v>97</v>
      </c>
      <c r="I38" s="126"/>
      <c r="J38" s="4" t="s">
        <v>299</v>
      </c>
      <c r="K38" s="33"/>
      <c r="L38" s="191"/>
      <c r="M38" s="6"/>
      <c r="N38" s="5"/>
      <c r="O38" s="2"/>
      <c r="P38" s="50"/>
    </row>
    <row r="39" spans="1:16" x14ac:dyDescent="0.3">
      <c r="A39" s="49">
        <v>16</v>
      </c>
      <c r="B39" s="2" t="s">
        <v>7</v>
      </c>
      <c r="C39" s="2" t="s">
        <v>25</v>
      </c>
      <c r="D39" s="2" t="s">
        <v>25</v>
      </c>
      <c r="E39" s="13">
        <v>377</v>
      </c>
      <c r="F39" s="13" t="str">
        <f t="shared" si="1"/>
        <v>TC377</v>
      </c>
      <c r="G39" s="3" t="s">
        <v>55</v>
      </c>
      <c r="H39" s="119" t="s">
        <v>98</v>
      </c>
      <c r="I39" s="126"/>
      <c r="J39" s="4" t="s">
        <v>300</v>
      </c>
      <c r="K39" s="33"/>
      <c r="L39" s="191"/>
      <c r="M39" s="6"/>
      <c r="N39" s="5"/>
      <c r="O39" s="2"/>
      <c r="P39" s="50"/>
    </row>
    <row r="40" spans="1:16" x14ac:dyDescent="0.3">
      <c r="A40" s="49">
        <v>17</v>
      </c>
      <c r="B40" s="2" t="s">
        <v>7</v>
      </c>
      <c r="C40" s="2" t="s">
        <v>25</v>
      </c>
      <c r="D40" s="2" t="s">
        <v>16</v>
      </c>
      <c r="E40" s="13">
        <v>392</v>
      </c>
      <c r="F40" s="13" t="str">
        <f t="shared" si="1"/>
        <v>TC392</v>
      </c>
      <c r="G40" s="3" t="s">
        <v>55</v>
      </c>
      <c r="H40" s="119" t="s">
        <v>116</v>
      </c>
      <c r="I40" s="126"/>
      <c r="J40" s="4" t="s">
        <v>301</v>
      </c>
      <c r="K40" s="33"/>
      <c r="L40" s="191"/>
      <c r="M40" s="6"/>
      <c r="N40" s="5"/>
      <c r="O40" s="2"/>
      <c r="P40" s="50"/>
    </row>
    <row r="41" spans="1:16" x14ac:dyDescent="0.3">
      <c r="A41" s="49">
        <v>18</v>
      </c>
      <c r="B41" s="2" t="s">
        <v>7</v>
      </c>
      <c r="C41" s="2" t="s">
        <v>25</v>
      </c>
      <c r="D41" s="2" t="s">
        <v>16</v>
      </c>
      <c r="E41" s="13">
        <v>393</v>
      </c>
      <c r="F41" s="13" t="str">
        <f t="shared" si="1"/>
        <v>TC393</v>
      </c>
      <c r="G41" s="3" t="s">
        <v>55</v>
      </c>
      <c r="H41" s="119" t="s">
        <v>117</v>
      </c>
      <c r="I41" s="126"/>
      <c r="J41" s="4" t="s">
        <v>302</v>
      </c>
      <c r="K41" s="33"/>
      <c r="L41" s="191"/>
      <c r="M41" s="6"/>
      <c r="N41" s="5"/>
      <c r="O41" s="2"/>
      <c r="P41" s="50"/>
    </row>
    <row r="42" spans="1:16" x14ac:dyDescent="0.3">
      <c r="A42" s="49">
        <v>19</v>
      </c>
      <c r="B42" s="2" t="s">
        <v>7</v>
      </c>
      <c r="C42" s="2" t="s">
        <v>25</v>
      </c>
      <c r="D42" s="2" t="s">
        <v>16</v>
      </c>
      <c r="E42" s="13">
        <v>507</v>
      </c>
      <c r="F42" s="13" t="str">
        <f t="shared" si="1"/>
        <v>TC507</v>
      </c>
      <c r="G42" s="3" t="s">
        <v>55</v>
      </c>
      <c r="H42" s="119" t="s">
        <v>153</v>
      </c>
      <c r="I42" s="126"/>
      <c r="J42" s="4" t="s">
        <v>303</v>
      </c>
      <c r="K42" s="24"/>
      <c r="L42" s="192"/>
      <c r="M42" s="6"/>
      <c r="N42" s="5"/>
      <c r="O42" s="2"/>
      <c r="P42" s="50"/>
    </row>
    <row r="43" spans="1:16" x14ac:dyDescent="0.3">
      <c r="A43" s="49">
        <v>20</v>
      </c>
      <c r="B43" s="2" t="s">
        <v>7</v>
      </c>
      <c r="C43" s="21"/>
      <c r="D43" s="21"/>
      <c r="E43" s="22"/>
      <c r="F43" s="22"/>
      <c r="G43" s="23"/>
      <c r="H43" s="186" t="s">
        <v>99</v>
      </c>
      <c r="I43" s="127"/>
      <c r="J43" s="24"/>
      <c r="K43" s="24"/>
      <c r="L43" s="4"/>
      <c r="M43" s="25"/>
      <c r="N43" s="26"/>
      <c r="O43" s="21"/>
      <c r="P43" s="77"/>
    </row>
    <row r="44" spans="1:16" x14ac:dyDescent="0.3">
      <c r="A44" s="49">
        <v>21</v>
      </c>
      <c r="B44" s="2" t="s">
        <v>7</v>
      </c>
      <c r="C44" s="21"/>
      <c r="D44" s="21"/>
      <c r="E44" s="22"/>
      <c r="F44" s="22"/>
      <c r="G44" s="23"/>
      <c r="H44" s="187"/>
      <c r="I44" s="127"/>
      <c r="J44" s="24"/>
      <c r="K44" s="24"/>
      <c r="L44" s="4"/>
      <c r="M44" s="25"/>
      <c r="N44" s="26"/>
      <c r="O44" s="21"/>
      <c r="P44" s="77"/>
    </row>
    <row r="45" spans="1:16" x14ac:dyDescent="0.3">
      <c r="A45" s="49">
        <v>22</v>
      </c>
      <c r="B45" s="2" t="s">
        <v>7</v>
      </c>
      <c r="C45" s="21"/>
      <c r="D45" s="21"/>
      <c r="E45" s="22"/>
      <c r="F45" s="22"/>
      <c r="G45" s="23"/>
      <c r="H45" s="187"/>
      <c r="I45" s="127"/>
      <c r="J45" s="24"/>
      <c r="K45" s="24"/>
      <c r="L45" s="4"/>
      <c r="M45" s="25"/>
      <c r="N45" s="26"/>
      <c r="O45" s="21"/>
      <c r="P45" s="77"/>
    </row>
    <row r="46" spans="1:16" x14ac:dyDescent="0.3">
      <c r="A46" s="49">
        <v>23</v>
      </c>
      <c r="B46" s="2" t="s">
        <v>7</v>
      </c>
      <c r="C46" s="21"/>
      <c r="D46" s="21"/>
      <c r="E46" s="22"/>
      <c r="F46" s="22"/>
      <c r="G46" s="23"/>
      <c r="H46" s="187"/>
      <c r="I46" s="127"/>
      <c r="J46" s="24"/>
      <c r="K46" s="24"/>
      <c r="L46" s="4"/>
      <c r="M46" s="25"/>
      <c r="N46" s="26"/>
      <c r="O46" s="21"/>
      <c r="P46" s="77"/>
    </row>
    <row r="47" spans="1:16" x14ac:dyDescent="0.3">
      <c r="A47" s="49">
        <v>24</v>
      </c>
      <c r="B47" s="2" t="s">
        <v>7</v>
      </c>
      <c r="C47" s="21"/>
      <c r="D47" s="21"/>
      <c r="E47" s="22"/>
      <c r="F47" s="22"/>
      <c r="G47" s="23"/>
      <c r="H47" s="187"/>
      <c r="I47" s="127"/>
      <c r="J47" s="24"/>
      <c r="K47" s="24"/>
      <c r="L47" s="4"/>
      <c r="M47" s="25"/>
      <c r="N47" s="26"/>
      <c r="O47" s="21"/>
      <c r="P47" s="77"/>
    </row>
    <row r="48" spans="1:16" ht="17.25" thickBot="1" x14ac:dyDescent="0.35">
      <c r="A48" s="51">
        <v>25</v>
      </c>
      <c r="B48" s="52" t="s">
        <v>7</v>
      </c>
      <c r="C48" s="67"/>
      <c r="D48" s="67"/>
      <c r="E48" s="53"/>
      <c r="F48" s="53"/>
      <c r="G48" s="78"/>
      <c r="H48" s="188"/>
      <c r="I48" s="128"/>
      <c r="J48" s="71"/>
      <c r="K48" s="71"/>
      <c r="L48" s="57"/>
      <c r="M48" s="79"/>
      <c r="N48" s="72"/>
      <c r="O48" s="67"/>
      <c r="P48" s="73"/>
    </row>
    <row r="49" spans="1:16" ht="17.25" thickBot="1" x14ac:dyDescent="0.35">
      <c r="A49" s="51"/>
      <c r="B49" s="67"/>
      <c r="C49" s="67"/>
      <c r="D49" s="67"/>
      <c r="E49" s="80"/>
      <c r="F49" s="80"/>
      <c r="G49" s="55"/>
      <c r="H49" s="80"/>
      <c r="I49" s="129"/>
      <c r="J49" s="71"/>
      <c r="K49" s="71"/>
      <c r="L49" s="82"/>
      <c r="M49" s="79"/>
      <c r="N49" s="72"/>
      <c r="O49" s="67"/>
      <c r="P49" s="73"/>
    </row>
    <row r="50" spans="1:16" x14ac:dyDescent="0.3">
      <c r="A50" s="49">
        <v>1</v>
      </c>
      <c r="B50" s="21" t="s">
        <v>0</v>
      </c>
      <c r="C50" s="21" t="s">
        <v>27</v>
      </c>
      <c r="D50" s="21" t="s">
        <v>20</v>
      </c>
      <c r="E50" s="28">
        <v>105</v>
      </c>
      <c r="F50" s="28" t="str">
        <f>$D50 &amp; $E50</f>
        <v>PT105</v>
      </c>
      <c r="G50" s="23"/>
      <c r="H50" s="113" t="s">
        <v>78</v>
      </c>
      <c r="I50" s="130" t="s">
        <v>195</v>
      </c>
      <c r="J50" s="24" t="s">
        <v>203</v>
      </c>
      <c r="K50" s="24"/>
      <c r="L50" s="17" t="s">
        <v>183</v>
      </c>
      <c r="M50" s="25" t="s">
        <v>79</v>
      </c>
      <c r="N50" s="26" t="s">
        <v>38</v>
      </c>
      <c r="O50" s="21" t="s">
        <v>157</v>
      </c>
      <c r="P50" s="77" t="s">
        <v>3</v>
      </c>
    </row>
    <row r="51" spans="1:16" x14ac:dyDescent="0.3">
      <c r="A51" s="49">
        <v>2</v>
      </c>
      <c r="B51" s="2" t="s">
        <v>0</v>
      </c>
      <c r="C51" s="2" t="s">
        <v>27</v>
      </c>
      <c r="D51" s="15" t="s">
        <v>20</v>
      </c>
      <c r="E51" s="14">
        <v>109</v>
      </c>
      <c r="F51" s="14" t="str">
        <f t="shared" ref="F51:F63" si="2">$D51 &amp; $E51</f>
        <v>PT109</v>
      </c>
      <c r="G51" s="3"/>
      <c r="H51" s="114" t="s">
        <v>80</v>
      </c>
      <c r="I51" s="130" t="s">
        <v>205</v>
      </c>
      <c r="J51" s="24" t="s">
        <v>204</v>
      </c>
      <c r="K51" s="24"/>
      <c r="L51" s="17" t="s">
        <v>90</v>
      </c>
      <c r="M51" s="6" t="s">
        <v>70</v>
      </c>
      <c r="N51" s="5" t="s">
        <v>38</v>
      </c>
      <c r="O51" s="21" t="s">
        <v>89</v>
      </c>
      <c r="P51" s="50" t="s">
        <v>3</v>
      </c>
    </row>
    <row r="52" spans="1:16" x14ac:dyDescent="0.3">
      <c r="A52" s="49">
        <v>3</v>
      </c>
      <c r="B52" s="2" t="s">
        <v>0</v>
      </c>
      <c r="C52" s="2" t="s">
        <v>27</v>
      </c>
      <c r="D52" s="15" t="s">
        <v>20</v>
      </c>
      <c r="E52" s="14">
        <v>113</v>
      </c>
      <c r="F52" s="14" t="str">
        <f t="shared" si="2"/>
        <v>PT113</v>
      </c>
      <c r="G52" s="3"/>
      <c r="H52" s="114" t="s">
        <v>65</v>
      </c>
      <c r="I52" s="130" t="s">
        <v>199</v>
      </c>
      <c r="J52" s="24" t="s">
        <v>211</v>
      </c>
      <c r="K52" s="24"/>
      <c r="L52" s="17" t="s">
        <v>90</v>
      </c>
      <c r="M52" s="6" t="s">
        <v>70</v>
      </c>
      <c r="N52" s="5" t="s">
        <v>38</v>
      </c>
      <c r="O52" s="21" t="s">
        <v>89</v>
      </c>
      <c r="P52" s="50" t="s">
        <v>3</v>
      </c>
    </row>
    <row r="53" spans="1:16" x14ac:dyDescent="0.3">
      <c r="A53" s="49">
        <v>4</v>
      </c>
      <c r="B53" s="2" t="s">
        <v>0</v>
      </c>
      <c r="C53" s="2" t="s">
        <v>27</v>
      </c>
      <c r="D53" s="15" t="s">
        <v>20</v>
      </c>
      <c r="E53" s="14">
        <v>123</v>
      </c>
      <c r="F53" s="14" t="str">
        <f t="shared" si="2"/>
        <v>PT123</v>
      </c>
      <c r="G53" s="3"/>
      <c r="H53" s="114" t="s">
        <v>66</v>
      </c>
      <c r="I53" s="130" t="s">
        <v>200</v>
      </c>
      <c r="J53" s="24" t="s">
        <v>212</v>
      </c>
      <c r="K53" s="24"/>
      <c r="L53" s="17" t="s">
        <v>90</v>
      </c>
      <c r="M53" s="6" t="s">
        <v>70</v>
      </c>
      <c r="N53" s="5" t="s">
        <v>38</v>
      </c>
      <c r="O53" s="21" t="s">
        <v>89</v>
      </c>
      <c r="P53" s="50" t="s">
        <v>3</v>
      </c>
    </row>
    <row r="54" spans="1:16" x14ac:dyDescent="0.3">
      <c r="A54" s="49">
        <v>5</v>
      </c>
      <c r="B54" s="2" t="s">
        <v>0</v>
      </c>
      <c r="C54" s="2" t="s">
        <v>27</v>
      </c>
      <c r="D54" s="2" t="s">
        <v>20</v>
      </c>
      <c r="E54" s="14">
        <v>146</v>
      </c>
      <c r="F54" s="14" t="str">
        <f t="shared" si="2"/>
        <v>PT146</v>
      </c>
      <c r="G54" s="3"/>
      <c r="H54" s="115" t="s">
        <v>101</v>
      </c>
      <c r="I54" s="130" t="s">
        <v>206</v>
      </c>
      <c r="J54" s="24" t="s">
        <v>207</v>
      </c>
      <c r="K54" s="24"/>
      <c r="L54" s="17" t="s">
        <v>183</v>
      </c>
      <c r="M54" s="6" t="s">
        <v>70</v>
      </c>
      <c r="N54" s="5" t="s">
        <v>38</v>
      </c>
      <c r="O54" s="21" t="s">
        <v>157</v>
      </c>
      <c r="P54" s="50" t="s">
        <v>3</v>
      </c>
    </row>
    <row r="55" spans="1:16" x14ac:dyDescent="0.3">
      <c r="A55" s="49">
        <v>6</v>
      </c>
      <c r="B55" s="2" t="s">
        <v>0</v>
      </c>
      <c r="C55" s="2" t="s">
        <v>27</v>
      </c>
      <c r="D55" s="15" t="s">
        <v>20</v>
      </c>
      <c r="E55" s="14">
        <v>163</v>
      </c>
      <c r="F55" s="14" t="str">
        <f>$D55 &amp; $E55</f>
        <v>PT163</v>
      </c>
      <c r="G55" s="3"/>
      <c r="H55" s="114" t="s">
        <v>67</v>
      </c>
      <c r="I55" s="130" t="s">
        <v>196</v>
      </c>
      <c r="J55" s="24" t="s">
        <v>208</v>
      </c>
      <c r="K55" s="24"/>
      <c r="L55" s="17" t="s">
        <v>90</v>
      </c>
      <c r="M55" s="6" t="s">
        <v>70</v>
      </c>
      <c r="N55" s="5" t="s">
        <v>38</v>
      </c>
      <c r="O55" s="21" t="s">
        <v>89</v>
      </c>
      <c r="P55" s="50" t="s">
        <v>3</v>
      </c>
    </row>
    <row r="56" spans="1:16" x14ac:dyDescent="0.3">
      <c r="A56" s="49">
        <v>7</v>
      </c>
      <c r="B56" s="2" t="s">
        <v>0</v>
      </c>
      <c r="C56" s="2" t="s">
        <v>27</v>
      </c>
      <c r="D56" s="2" t="s">
        <v>20</v>
      </c>
      <c r="E56" s="14">
        <v>383</v>
      </c>
      <c r="F56" s="14" t="str">
        <f t="shared" si="2"/>
        <v>PT383</v>
      </c>
      <c r="G56" s="3"/>
      <c r="H56" s="114" t="s">
        <v>102</v>
      </c>
      <c r="I56" s="130" t="s">
        <v>197</v>
      </c>
      <c r="J56" s="24" t="s">
        <v>209</v>
      </c>
      <c r="K56" s="24"/>
      <c r="L56" s="17" t="s">
        <v>91</v>
      </c>
      <c r="M56" s="6" t="s">
        <v>77</v>
      </c>
      <c r="N56" s="5" t="s">
        <v>38</v>
      </c>
      <c r="O56" s="21" t="s">
        <v>89</v>
      </c>
      <c r="P56" s="50" t="s">
        <v>3</v>
      </c>
    </row>
    <row r="57" spans="1:16" x14ac:dyDescent="0.3">
      <c r="A57" s="49">
        <v>8</v>
      </c>
      <c r="B57" s="2" t="s">
        <v>0</v>
      </c>
      <c r="C57" s="2" t="s">
        <v>27</v>
      </c>
      <c r="D57" s="2" t="s">
        <v>19</v>
      </c>
      <c r="E57" s="14">
        <v>324</v>
      </c>
      <c r="F57" s="14" t="str">
        <f t="shared" si="2"/>
        <v>CS324</v>
      </c>
      <c r="G57" s="3"/>
      <c r="H57" s="115" t="s">
        <v>156</v>
      </c>
      <c r="I57" s="130" t="s">
        <v>198</v>
      </c>
      <c r="J57" s="24" t="s">
        <v>210</v>
      </c>
      <c r="K57" s="24"/>
      <c r="L57" s="17" t="s">
        <v>92</v>
      </c>
      <c r="M57" s="6" t="s">
        <v>95</v>
      </c>
      <c r="N57" s="5" t="s">
        <v>71</v>
      </c>
      <c r="O57" s="21" t="s">
        <v>157</v>
      </c>
      <c r="P57" s="50" t="s">
        <v>3</v>
      </c>
    </row>
    <row r="58" spans="1:16" x14ac:dyDescent="0.3">
      <c r="A58" s="49">
        <v>9</v>
      </c>
      <c r="B58" s="2" t="s">
        <v>0</v>
      </c>
      <c r="C58" s="2" t="s">
        <v>158</v>
      </c>
      <c r="D58" s="2" t="s">
        <v>21</v>
      </c>
      <c r="E58" s="14">
        <v>111</v>
      </c>
      <c r="F58" s="14" t="str">
        <f t="shared" si="2"/>
        <v>MFC111</v>
      </c>
      <c r="G58" s="3"/>
      <c r="H58" s="115" t="s">
        <v>159</v>
      </c>
      <c r="I58" s="130" t="s">
        <v>213</v>
      </c>
      <c r="J58" s="4" t="s">
        <v>214</v>
      </c>
      <c r="K58" s="4"/>
      <c r="L58" s="17" t="s">
        <v>160</v>
      </c>
      <c r="M58" s="6" t="s">
        <v>161</v>
      </c>
      <c r="N58" s="5" t="s">
        <v>39</v>
      </c>
      <c r="O58" s="21"/>
      <c r="P58" s="50"/>
    </row>
    <row r="59" spans="1:16" x14ac:dyDescent="0.3">
      <c r="A59" s="49">
        <v>10</v>
      </c>
      <c r="B59" s="2" t="s">
        <v>0</v>
      </c>
      <c r="C59" s="2" t="s">
        <v>158</v>
      </c>
      <c r="D59" s="2" t="s">
        <v>21</v>
      </c>
      <c r="E59" s="14">
        <v>121</v>
      </c>
      <c r="F59" s="14" t="str">
        <f t="shared" si="2"/>
        <v>MFC121</v>
      </c>
      <c r="G59" s="3"/>
      <c r="H59" s="115" t="s">
        <v>162</v>
      </c>
      <c r="I59" s="130" t="s">
        <v>215</v>
      </c>
      <c r="J59" s="4" t="s">
        <v>216</v>
      </c>
      <c r="K59" s="4"/>
      <c r="L59" s="17" t="s">
        <v>185</v>
      </c>
      <c r="M59" s="6" t="s">
        <v>186</v>
      </c>
      <c r="N59" s="5" t="s">
        <v>39</v>
      </c>
      <c r="O59" s="21"/>
      <c r="P59" s="50"/>
    </row>
    <row r="60" spans="1:16" x14ac:dyDescent="0.3">
      <c r="A60" s="49">
        <v>11</v>
      </c>
      <c r="B60" s="2" t="s">
        <v>0</v>
      </c>
      <c r="C60" s="2" t="s">
        <v>27</v>
      </c>
      <c r="D60" s="2" t="s">
        <v>104</v>
      </c>
      <c r="E60" s="14">
        <v>211</v>
      </c>
      <c r="F60" s="14" t="str">
        <f t="shared" si="2"/>
        <v>MFM211</v>
      </c>
      <c r="G60" s="3"/>
      <c r="H60" s="114" t="s">
        <v>103</v>
      </c>
      <c r="I60" s="130" t="s">
        <v>218</v>
      </c>
      <c r="J60" s="4" t="s">
        <v>217</v>
      </c>
      <c r="K60" s="4"/>
      <c r="L60" s="17" t="s">
        <v>93</v>
      </c>
      <c r="M60" s="19" t="s">
        <v>190</v>
      </c>
      <c r="N60" s="5" t="s">
        <v>39</v>
      </c>
      <c r="O60" s="21" t="s">
        <v>89</v>
      </c>
      <c r="P60" s="50" t="s">
        <v>3</v>
      </c>
    </row>
    <row r="61" spans="1:16" x14ac:dyDescent="0.3">
      <c r="A61" s="49">
        <v>12</v>
      </c>
      <c r="B61" s="2" t="s">
        <v>0</v>
      </c>
      <c r="C61" s="2" t="s">
        <v>27</v>
      </c>
      <c r="D61" s="15" t="s">
        <v>104</v>
      </c>
      <c r="E61" s="14">
        <v>222</v>
      </c>
      <c r="F61" s="14" t="str">
        <f t="shared" si="2"/>
        <v>MFM222</v>
      </c>
      <c r="G61" s="3"/>
      <c r="H61" s="115" t="s">
        <v>69</v>
      </c>
      <c r="I61" s="130" t="s">
        <v>220</v>
      </c>
      <c r="J61" s="4" t="s">
        <v>219</v>
      </c>
      <c r="K61" s="4"/>
      <c r="L61" s="17" t="s">
        <v>93</v>
      </c>
      <c r="M61" s="6" t="s">
        <v>96</v>
      </c>
      <c r="N61" s="5" t="s">
        <v>39</v>
      </c>
      <c r="O61" s="21" t="s">
        <v>89</v>
      </c>
      <c r="P61" s="50" t="s">
        <v>3</v>
      </c>
    </row>
    <row r="62" spans="1:16" x14ac:dyDescent="0.3">
      <c r="A62" s="49">
        <v>13</v>
      </c>
      <c r="B62" s="2" t="s">
        <v>0</v>
      </c>
      <c r="C62" s="2" t="s">
        <v>27</v>
      </c>
      <c r="D62" s="15" t="s">
        <v>104</v>
      </c>
      <c r="E62" s="14">
        <v>231</v>
      </c>
      <c r="F62" s="14" t="str">
        <f t="shared" si="2"/>
        <v>MFM231</v>
      </c>
      <c r="G62" s="3"/>
      <c r="H62" s="114" t="s">
        <v>68</v>
      </c>
      <c r="I62" s="130" t="s">
        <v>201</v>
      </c>
      <c r="J62" s="4" t="s">
        <v>221</v>
      </c>
      <c r="K62" s="4"/>
      <c r="L62" s="17" t="s">
        <v>94</v>
      </c>
      <c r="M62" s="6" t="s">
        <v>79</v>
      </c>
      <c r="N62" s="5" t="s">
        <v>39</v>
      </c>
      <c r="O62" s="21" t="s">
        <v>89</v>
      </c>
      <c r="P62" s="50" t="s">
        <v>3</v>
      </c>
    </row>
    <row r="63" spans="1:16" x14ac:dyDescent="0.3">
      <c r="A63" s="49">
        <v>14</v>
      </c>
      <c r="B63" s="2" t="s">
        <v>0</v>
      </c>
      <c r="C63" s="2" t="s">
        <v>27</v>
      </c>
      <c r="D63" s="15" t="s">
        <v>34</v>
      </c>
      <c r="E63" s="14">
        <v>315</v>
      </c>
      <c r="F63" s="14" t="str">
        <f t="shared" si="2"/>
        <v>FM315</v>
      </c>
      <c r="G63" s="3"/>
      <c r="H63" s="115" t="s">
        <v>163</v>
      </c>
      <c r="I63" s="130" t="s">
        <v>202</v>
      </c>
      <c r="J63" s="4" t="s">
        <v>222</v>
      </c>
      <c r="K63" s="4"/>
      <c r="L63" s="17" t="s">
        <v>106</v>
      </c>
      <c r="M63" s="6" t="s">
        <v>105</v>
      </c>
      <c r="N63" s="5" t="s">
        <v>39</v>
      </c>
      <c r="O63" s="21" t="s">
        <v>164</v>
      </c>
      <c r="P63" s="50" t="s">
        <v>3</v>
      </c>
    </row>
    <row r="64" spans="1:16" x14ac:dyDescent="0.3">
      <c r="A64" s="49">
        <v>15</v>
      </c>
      <c r="B64" s="21"/>
      <c r="C64" s="21"/>
      <c r="D64" s="21"/>
      <c r="E64" s="28"/>
      <c r="F64" s="28"/>
      <c r="G64" s="3"/>
      <c r="H64" s="194" t="s">
        <v>125</v>
      </c>
      <c r="I64" s="132"/>
      <c r="J64" s="24"/>
      <c r="K64" s="24"/>
      <c r="L64" s="40"/>
      <c r="M64" s="25"/>
      <c r="N64" s="26"/>
      <c r="O64" s="21"/>
      <c r="P64" s="77"/>
    </row>
    <row r="65" spans="1:16" ht="17.25" thickBot="1" x14ac:dyDescent="0.35">
      <c r="A65" s="51">
        <v>16</v>
      </c>
      <c r="B65" s="67"/>
      <c r="C65" s="67"/>
      <c r="D65" s="67"/>
      <c r="E65" s="80"/>
      <c r="F65" s="80"/>
      <c r="G65" s="55"/>
      <c r="H65" s="195"/>
      <c r="I65" s="133"/>
      <c r="J65" s="71"/>
      <c r="K65" s="71"/>
      <c r="L65" s="82"/>
      <c r="M65" s="79"/>
      <c r="N65" s="72"/>
      <c r="O65" s="67"/>
      <c r="P65" s="73"/>
    </row>
    <row r="66" spans="1:16" ht="17.25" thickBot="1" x14ac:dyDescent="0.35">
      <c r="A66" s="34"/>
      <c r="B66" s="34"/>
      <c r="C66" s="34"/>
      <c r="D66" s="34"/>
      <c r="E66" s="35"/>
      <c r="F66" s="35"/>
      <c r="G66" s="75"/>
      <c r="H66" s="84"/>
      <c r="I66" s="150"/>
      <c r="J66" s="101"/>
      <c r="K66" s="101"/>
      <c r="L66" s="36"/>
      <c r="M66" s="37"/>
      <c r="N66" s="38"/>
      <c r="O66" s="85"/>
      <c r="P66" s="38"/>
    </row>
    <row r="67" spans="1:16" ht="17.25" customHeight="1" x14ac:dyDescent="0.3">
      <c r="A67" s="41">
        <v>1</v>
      </c>
      <c r="B67" s="42" t="s">
        <v>0</v>
      </c>
      <c r="C67" s="42" t="s">
        <v>5</v>
      </c>
      <c r="D67" s="93" t="s">
        <v>17</v>
      </c>
      <c r="E67" s="92">
        <v>212</v>
      </c>
      <c r="F67" s="43" t="str">
        <f t="shared" ref="F67:F75" si="3">$D67 &amp; $E67</f>
        <v>AB212</v>
      </c>
      <c r="G67" s="44" t="s">
        <v>110</v>
      </c>
      <c r="H67" s="116" t="s">
        <v>81</v>
      </c>
      <c r="I67" s="141" t="s">
        <v>223</v>
      </c>
      <c r="J67" s="24" t="s">
        <v>231</v>
      </c>
      <c r="K67" s="24"/>
      <c r="L67" s="45" t="s">
        <v>165</v>
      </c>
      <c r="M67" s="46"/>
      <c r="N67" s="47"/>
      <c r="O67" s="94" t="s">
        <v>6</v>
      </c>
      <c r="P67" s="48" t="s">
        <v>3</v>
      </c>
    </row>
    <row r="68" spans="1:16" x14ac:dyDescent="0.3">
      <c r="A68" s="49">
        <v>2</v>
      </c>
      <c r="B68" s="2" t="s">
        <v>0</v>
      </c>
      <c r="C68" s="2" t="s">
        <v>5</v>
      </c>
      <c r="D68" s="16" t="s">
        <v>17</v>
      </c>
      <c r="E68" s="15">
        <v>221</v>
      </c>
      <c r="F68" s="13" t="str">
        <f t="shared" si="3"/>
        <v>AB221</v>
      </c>
      <c r="G68" s="83" t="s">
        <v>109</v>
      </c>
      <c r="H68" s="117" t="s">
        <v>73</v>
      </c>
      <c r="I68" s="126" t="s">
        <v>237</v>
      </c>
      <c r="J68" s="4" t="s">
        <v>238</v>
      </c>
      <c r="K68" s="4"/>
      <c r="L68" s="110" t="s">
        <v>182</v>
      </c>
      <c r="M68" s="6"/>
      <c r="N68" s="5"/>
      <c r="O68" s="12" t="s">
        <v>6</v>
      </c>
      <c r="P68" s="50" t="s">
        <v>3</v>
      </c>
    </row>
    <row r="69" spans="1:16" x14ac:dyDescent="0.3">
      <c r="A69" s="49">
        <v>3</v>
      </c>
      <c r="B69" s="2" t="s">
        <v>0</v>
      </c>
      <c r="C69" s="2" t="s">
        <v>5</v>
      </c>
      <c r="D69" s="16" t="s">
        <v>17</v>
      </c>
      <c r="E69" s="15">
        <v>232</v>
      </c>
      <c r="F69" s="13" t="str">
        <f t="shared" si="3"/>
        <v>AB232</v>
      </c>
      <c r="G69" s="83" t="s">
        <v>108</v>
      </c>
      <c r="H69" s="117" t="s">
        <v>72</v>
      </c>
      <c r="I69" s="126" t="s">
        <v>230</v>
      </c>
      <c r="J69" s="4" t="s">
        <v>224</v>
      </c>
      <c r="K69" s="4"/>
      <c r="L69" s="17" t="s">
        <v>166</v>
      </c>
      <c r="M69" s="6"/>
      <c r="N69" s="5"/>
      <c r="O69" s="12" t="s">
        <v>6</v>
      </c>
      <c r="P69" s="50" t="s">
        <v>3</v>
      </c>
    </row>
    <row r="70" spans="1:16" x14ac:dyDescent="0.3">
      <c r="A70" s="49">
        <v>4</v>
      </c>
      <c r="B70" s="2" t="s">
        <v>0</v>
      </c>
      <c r="C70" s="2" t="s">
        <v>5</v>
      </c>
      <c r="D70" s="16" t="s">
        <v>18</v>
      </c>
      <c r="E70" s="15">
        <v>108</v>
      </c>
      <c r="F70" s="13" t="str">
        <f t="shared" si="3"/>
        <v>P108</v>
      </c>
      <c r="G70" s="83" t="s">
        <v>107</v>
      </c>
      <c r="H70" s="117" t="s">
        <v>76</v>
      </c>
      <c r="I70" s="126" t="s">
        <v>227</v>
      </c>
      <c r="J70" s="4" t="s">
        <v>226</v>
      </c>
      <c r="K70" s="4"/>
      <c r="L70" s="108" t="s">
        <v>181</v>
      </c>
      <c r="M70" s="6"/>
      <c r="N70" s="5"/>
      <c r="O70" s="12" t="s">
        <v>6</v>
      </c>
      <c r="P70" s="50" t="s">
        <v>3</v>
      </c>
    </row>
    <row r="71" spans="1:16" x14ac:dyDescent="0.3">
      <c r="A71" s="49">
        <v>5</v>
      </c>
      <c r="B71" s="2" t="s">
        <v>0</v>
      </c>
      <c r="C71" s="2" t="s">
        <v>5</v>
      </c>
      <c r="D71" s="16" t="s">
        <v>18</v>
      </c>
      <c r="E71" s="15">
        <v>341</v>
      </c>
      <c r="F71" s="13" t="str">
        <f t="shared" si="3"/>
        <v>P341</v>
      </c>
      <c r="G71" s="83" t="s">
        <v>167</v>
      </c>
      <c r="H71" s="117" t="s">
        <v>122</v>
      </c>
      <c r="I71" s="126" t="s">
        <v>236</v>
      </c>
      <c r="J71" s="4" t="s">
        <v>234</v>
      </c>
      <c r="K71" s="4"/>
      <c r="L71" s="17" t="s">
        <v>168</v>
      </c>
      <c r="M71" s="6"/>
      <c r="N71" s="5"/>
      <c r="O71" s="12" t="s">
        <v>6</v>
      </c>
      <c r="P71" s="50" t="s">
        <v>3</v>
      </c>
    </row>
    <row r="72" spans="1:16" x14ac:dyDescent="0.3">
      <c r="A72" s="49">
        <v>6</v>
      </c>
      <c r="B72" s="2" t="s">
        <v>0</v>
      </c>
      <c r="C72" s="2" t="s">
        <v>5</v>
      </c>
      <c r="D72" s="15" t="s">
        <v>18</v>
      </c>
      <c r="E72" s="15">
        <v>351</v>
      </c>
      <c r="F72" s="15" t="str">
        <f t="shared" si="3"/>
        <v>P351</v>
      </c>
      <c r="G72" s="83" t="s">
        <v>124</v>
      </c>
      <c r="H72" s="114" t="s">
        <v>123</v>
      </c>
      <c r="I72" s="126" t="s">
        <v>240</v>
      </c>
      <c r="J72" s="4" t="s">
        <v>239</v>
      </c>
      <c r="K72" s="4"/>
      <c r="L72" s="17" t="s">
        <v>168</v>
      </c>
      <c r="M72" s="6"/>
      <c r="N72" s="5"/>
      <c r="O72" s="12" t="s">
        <v>6</v>
      </c>
      <c r="P72" s="50" t="s">
        <v>3</v>
      </c>
    </row>
    <row r="73" spans="1:16" x14ac:dyDescent="0.3">
      <c r="A73" s="49">
        <v>7</v>
      </c>
      <c r="B73" s="2" t="s">
        <v>0</v>
      </c>
      <c r="C73" s="2" t="s">
        <v>5</v>
      </c>
      <c r="D73" s="15" t="s">
        <v>18</v>
      </c>
      <c r="E73" s="15">
        <v>370</v>
      </c>
      <c r="F73" s="15" t="str">
        <f t="shared" si="3"/>
        <v>P370</v>
      </c>
      <c r="G73" s="83" t="s">
        <v>120</v>
      </c>
      <c r="H73" s="117" t="s">
        <v>74</v>
      </c>
      <c r="I73" s="126" t="s">
        <v>225</v>
      </c>
      <c r="J73" s="4" t="s">
        <v>235</v>
      </c>
      <c r="K73" s="4"/>
      <c r="L73" s="17" t="s">
        <v>168</v>
      </c>
      <c r="M73" s="6"/>
      <c r="N73" s="5"/>
      <c r="O73" s="12" t="s">
        <v>6</v>
      </c>
      <c r="P73" s="50" t="s">
        <v>3</v>
      </c>
    </row>
    <row r="74" spans="1:16" x14ac:dyDescent="0.3">
      <c r="A74" s="49">
        <v>8</v>
      </c>
      <c r="B74" s="2" t="s">
        <v>0</v>
      </c>
      <c r="C74" s="2" t="s">
        <v>5</v>
      </c>
      <c r="D74" s="15" t="s">
        <v>18</v>
      </c>
      <c r="E74" s="15">
        <v>375</v>
      </c>
      <c r="F74" s="15" t="str">
        <f t="shared" si="3"/>
        <v>P375</v>
      </c>
      <c r="G74" s="83" t="s">
        <v>121</v>
      </c>
      <c r="H74" s="114" t="s">
        <v>75</v>
      </c>
      <c r="I74" s="126" t="s">
        <v>233</v>
      </c>
      <c r="J74" s="4" t="s">
        <v>232</v>
      </c>
      <c r="K74" s="4"/>
      <c r="L74" s="17" t="s">
        <v>168</v>
      </c>
      <c r="M74" s="6"/>
      <c r="N74" s="5"/>
      <c r="O74" s="12" t="s">
        <v>6</v>
      </c>
      <c r="P74" s="50" t="s">
        <v>3</v>
      </c>
    </row>
    <row r="75" spans="1:16" x14ac:dyDescent="0.3">
      <c r="A75" s="49">
        <v>9</v>
      </c>
      <c r="B75" s="2" t="s">
        <v>0</v>
      </c>
      <c r="C75" s="2" t="s">
        <v>5</v>
      </c>
      <c r="D75" s="15" t="s">
        <v>18</v>
      </c>
      <c r="E75" s="15">
        <v>380</v>
      </c>
      <c r="F75" s="15" t="str">
        <f t="shared" si="3"/>
        <v>P380</v>
      </c>
      <c r="G75" s="83" t="s">
        <v>111</v>
      </c>
      <c r="H75" s="114" t="s">
        <v>82</v>
      </c>
      <c r="I75" s="126" t="s">
        <v>229</v>
      </c>
      <c r="J75" s="4" t="s">
        <v>228</v>
      </c>
      <c r="K75" s="4"/>
      <c r="L75" s="109" t="s">
        <v>184</v>
      </c>
      <c r="M75" s="6"/>
      <c r="N75" s="5"/>
      <c r="O75" s="12" t="s">
        <v>169</v>
      </c>
      <c r="P75" s="50" t="s">
        <v>3</v>
      </c>
    </row>
    <row r="76" spans="1:16" x14ac:dyDescent="0.3">
      <c r="A76" s="49">
        <v>12</v>
      </c>
      <c r="B76" s="21"/>
      <c r="C76" s="21"/>
      <c r="D76" s="21"/>
      <c r="E76" s="28"/>
      <c r="F76" s="27"/>
      <c r="G76" s="83"/>
      <c r="H76" s="194" t="s">
        <v>125</v>
      </c>
      <c r="I76" s="132"/>
      <c r="J76" s="24"/>
      <c r="K76" s="24"/>
      <c r="L76" s="30"/>
      <c r="M76" s="25"/>
      <c r="N76" s="26"/>
      <c r="O76" s="31"/>
      <c r="P76" s="77"/>
    </row>
    <row r="77" spans="1:16" ht="17.25" thickBot="1" x14ac:dyDescent="0.35">
      <c r="A77" s="51">
        <v>13</v>
      </c>
      <c r="B77" s="67"/>
      <c r="C77" s="67"/>
      <c r="D77" s="67"/>
      <c r="E77" s="80"/>
      <c r="F77" s="81"/>
      <c r="G77" s="86"/>
      <c r="H77" s="195"/>
      <c r="I77" s="133"/>
      <c r="J77" s="71"/>
      <c r="K77" s="71"/>
      <c r="L77" s="87"/>
      <c r="M77" s="79"/>
      <c r="N77" s="72"/>
      <c r="O77" s="88"/>
      <c r="P77" s="73"/>
    </row>
    <row r="78" spans="1:16" ht="17.25" thickBot="1" x14ac:dyDescent="0.35">
      <c r="A78" s="34"/>
      <c r="B78" s="34"/>
      <c r="C78" s="34"/>
      <c r="D78" s="34"/>
      <c r="E78" s="35"/>
      <c r="F78" s="89"/>
      <c r="G78" s="90"/>
      <c r="H78" s="84"/>
      <c r="I78" s="134"/>
      <c r="J78" s="33"/>
      <c r="K78" s="33"/>
      <c r="L78" s="91"/>
      <c r="M78" s="37"/>
      <c r="N78" s="38"/>
      <c r="O78" s="39"/>
      <c r="P78" s="38"/>
    </row>
    <row r="79" spans="1:16" x14ac:dyDescent="0.3">
      <c r="A79" s="41">
        <v>1</v>
      </c>
      <c r="B79" s="42" t="s">
        <v>0</v>
      </c>
      <c r="C79" s="42" t="s">
        <v>2</v>
      </c>
      <c r="D79" s="42" t="s">
        <v>41</v>
      </c>
      <c r="E79" s="42">
        <v>176</v>
      </c>
      <c r="F79" s="43" t="str">
        <f t="shared" ref="F79:F82" si="4">$D79 &amp; $E79</f>
        <v>FD176</v>
      </c>
      <c r="G79" s="44"/>
      <c r="H79" s="118" t="s">
        <v>43</v>
      </c>
      <c r="I79" s="137"/>
      <c r="J79" s="45" t="s">
        <v>317</v>
      </c>
      <c r="K79" s="45">
        <v>89</v>
      </c>
      <c r="L79" s="45" t="s">
        <v>170</v>
      </c>
      <c r="M79" s="46"/>
      <c r="N79" s="47"/>
      <c r="O79" s="94" t="s">
        <v>4</v>
      </c>
      <c r="P79" s="48" t="s">
        <v>3</v>
      </c>
    </row>
    <row r="80" spans="1:16" x14ac:dyDescent="0.3">
      <c r="A80" s="2">
        <v>2</v>
      </c>
      <c r="B80" s="2" t="s">
        <v>0</v>
      </c>
      <c r="C80" s="2" t="s">
        <v>2</v>
      </c>
      <c r="D80" s="2" t="s">
        <v>42</v>
      </c>
      <c r="E80" s="2">
        <v>501</v>
      </c>
      <c r="F80" s="2" t="str">
        <f t="shared" si="4"/>
        <v>GD501</v>
      </c>
      <c r="G80" s="9"/>
      <c r="H80" s="119" t="s">
        <v>144</v>
      </c>
      <c r="I80" s="126"/>
      <c r="J80" s="4" t="s">
        <v>241</v>
      </c>
      <c r="K80" s="4">
        <v>59</v>
      </c>
      <c r="L80" s="4"/>
      <c r="M80" s="6"/>
      <c r="N80" s="5"/>
      <c r="O80" s="12" t="s">
        <v>4</v>
      </c>
      <c r="P80" s="50" t="s">
        <v>3</v>
      </c>
    </row>
    <row r="81" spans="1:16" x14ac:dyDescent="0.3">
      <c r="A81" s="2">
        <v>3</v>
      </c>
      <c r="B81" s="2" t="s">
        <v>0</v>
      </c>
      <c r="C81" s="2" t="s">
        <v>2</v>
      </c>
      <c r="D81" s="2" t="s">
        <v>42</v>
      </c>
      <c r="E81" s="2">
        <v>502</v>
      </c>
      <c r="F81" s="2" t="str">
        <f t="shared" si="4"/>
        <v>GD502</v>
      </c>
      <c r="G81" s="9"/>
      <c r="H81" s="119" t="s">
        <v>171</v>
      </c>
      <c r="I81" s="126"/>
      <c r="J81" s="4" t="s">
        <v>242</v>
      </c>
      <c r="K81" s="4">
        <v>60</v>
      </c>
      <c r="L81" s="4"/>
      <c r="M81" s="6"/>
      <c r="N81" s="5"/>
      <c r="O81" s="12" t="s">
        <v>4</v>
      </c>
      <c r="P81" s="50" t="s">
        <v>3</v>
      </c>
    </row>
    <row r="82" spans="1:16" x14ac:dyDescent="0.3">
      <c r="A82" s="2">
        <v>4</v>
      </c>
      <c r="B82" s="2" t="s">
        <v>0</v>
      </c>
      <c r="C82" s="2" t="s">
        <v>2</v>
      </c>
      <c r="D82" s="2" t="s">
        <v>35</v>
      </c>
      <c r="E82" s="2">
        <v>504</v>
      </c>
      <c r="F82" s="13" t="str">
        <f t="shared" si="4"/>
        <v>FAN504</v>
      </c>
      <c r="G82" s="3"/>
      <c r="H82" s="117" t="s">
        <v>173</v>
      </c>
      <c r="I82" s="136"/>
      <c r="J82" s="4" t="s">
        <v>243</v>
      </c>
      <c r="K82" s="4">
        <v>24</v>
      </c>
      <c r="L82" s="17" t="s">
        <v>172</v>
      </c>
      <c r="M82" s="6"/>
      <c r="N82" s="5"/>
      <c r="O82" s="12" t="s">
        <v>4</v>
      </c>
      <c r="P82" s="50" t="s">
        <v>3</v>
      </c>
    </row>
    <row r="83" spans="1:16" x14ac:dyDescent="0.3">
      <c r="A83" s="2">
        <v>5</v>
      </c>
      <c r="B83" s="2" t="s">
        <v>0</v>
      </c>
      <c r="C83" s="2" t="s">
        <v>2</v>
      </c>
      <c r="D83" s="16" t="s">
        <v>32</v>
      </c>
      <c r="E83" s="16" t="s">
        <v>40</v>
      </c>
      <c r="F83" s="15" t="str">
        <f>$D83 &amp; $E83</f>
        <v>TJ-sig</v>
      </c>
      <c r="G83" s="120" t="s">
        <v>192</v>
      </c>
      <c r="H83" s="115" t="s">
        <v>83</v>
      </c>
      <c r="I83" s="131"/>
      <c r="J83" s="4" t="s">
        <v>244</v>
      </c>
      <c r="K83" s="4">
        <v>44</v>
      </c>
      <c r="L83" s="4"/>
      <c r="M83" s="6"/>
      <c r="N83" s="5"/>
      <c r="O83" s="12" t="s">
        <v>4</v>
      </c>
      <c r="P83" s="50" t="s">
        <v>3</v>
      </c>
    </row>
    <row r="84" spans="1:16" x14ac:dyDescent="0.3">
      <c r="A84" s="49">
        <v>6</v>
      </c>
      <c r="B84" s="21"/>
      <c r="C84" s="21"/>
      <c r="D84" s="29"/>
      <c r="E84" s="29"/>
      <c r="F84" s="27"/>
      <c r="G84" s="23"/>
      <c r="H84" s="194" t="s">
        <v>125</v>
      </c>
      <c r="I84" s="132"/>
      <c r="J84" s="24"/>
      <c r="K84" s="24"/>
      <c r="L84" s="24"/>
      <c r="M84" s="25"/>
      <c r="N84" s="26"/>
      <c r="O84" s="31"/>
      <c r="P84" s="77"/>
    </row>
    <row r="85" spans="1:16" ht="17.25" thickBot="1" x14ac:dyDescent="0.35">
      <c r="A85" s="51">
        <v>7</v>
      </c>
      <c r="B85" s="67"/>
      <c r="C85" s="67"/>
      <c r="D85" s="56"/>
      <c r="E85" s="56"/>
      <c r="F85" s="81"/>
      <c r="G85" s="78"/>
      <c r="H85" s="195"/>
      <c r="I85" s="133"/>
      <c r="J85" s="71"/>
      <c r="K85" s="71"/>
      <c r="L85" s="71"/>
      <c r="M85" s="79"/>
      <c r="N85" s="72"/>
      <c r="O85" s="88"/>
      <c r="P85" s="73"/>
    </row>
    <row r="86" spans="1:16" ht="17.25" thickBot="1" x14ac:dyDescent="0.35">
      <c r="A86" s="51"/>
      <c r="B86" s="67"/>
      <c r="C86" s="67"/>
      <c r="D86" s="56"/>
      <c r="E86" s="56"/>
      <c r="F86" s="81"/>
      <c r="G86" s="78"/>
      <c r="H86" s="81"/>
      <c r="I86" s="133"/>
      <c r="J86" s="71"/>
      <c r="K86" s="71"/>
      <c r="L86" s="71"/>
      <c r="M86" s="79"/>
      <c r="N86" s="72"/>
      <c r="O86" s="88"/>
      <c r="P86" s="73"/>
    </row>
    <row r="87" spans="1:16" x14ac:dyDescent="0.3">
      <c r="A87" s="49">
        <v>1</v>
      </c>
      <c r="B87" s="2" t="s">
        <v>0</v>
      </c>
      <c r="C87" s="2" t="s">
        <v>1</v>
      </c>
      <c r="D87" s="2" t="s">
        <v>46</v>
      </c>
      <c r="E87" s="2">
        <v>102</v>
      </c>
      <c r="F87" s="13" t="str">
        <f t="shared" ref="F87:F109" si="5">$D87 &amp; $E87</f>
        <v>SV102</v>
      </c>
      <c r="G87" s="9"/>
      <c r="H87" s="119" t="s">
        <v>127</v>
      </c>
      <c r="I87" s="126" t="s">
        <v>246</v>
      </c>
      <c r="J87" s="4" t="s">
        <v>247</v>
      </c>
      <c r="K87" s="4">
        <v>18</v>
      </c>
      <c r="L87" s="108" t="s">
        <v>174</v>
      </c>
      <c r="M87" s="6"/>
      <c r="N87" s="5"/>
      <c r="O87" s="12" t="s">
        <v>4</v>
      </c>
      <c r="P87" s="50" t="s">
        <v>3</v>
      </c>
    </row>
    <row r="88" spans="1:16" x14ac:dyDescent="0.3">
      <c r="A88" s="49">
        <v>2</v>
      </c>
      <c r="B88" s="2" t="s">
        <v>0</v>
      </c>
      <c r="C88" s="2" t="s">
        <v>1</v>
      </c>
      <c r="D88" s="2" t="s">
        <v>46</v>
      </c>
      <c r="E88" s="2">
        <v>103</v>
      </c>
      <c r="F88" s="13" t="str">
        <f t="shared" si="5"/>
        <v>SV103</v>
      </c>
      <c r="G88" s="9"/>
      <c r="H88" s="119" t="s">
        <v>128</v>
      </c>
      <c r="I88" s="126" t="s">
        <v>248</v>
      </c>
      <c r="J88" s="4" t="s">
        <v>249</v>
      </c>
      <c r="K88" s="4">
        <v>19</v>
      </c>
      <c r="L88" s="108" t="s">
        <v>174</v>
      </c>
      <c r="M88" s="6"/>
      <c r="N88" s="5"/>
      <c r="O88" s="12" t="s">
        <v>4</v>
      </c>
      <c r="P88" s="50" t="s">
        <v>3</v>
      </c>
    </row>
    <row r="89" spans="1:16" x14ac:dyDescent="0.3">
      <c r="A89" s="49">
        <v>3</v>
      </c>
      <c r="B89" s="2" t="s">
        <v>0</v>
      </c>
      <c r="C89" s="2" t="s">
        <v>1</v>
      </c>
      <c r="D89" s="2" t="s">
        <v>46</v>
      </c>
      <c r="E89" s="2">
        <v>125</v>
      </c>
      <c r="F89" s="13" t="str">
        <f t="shared" si="5"/>
        <v>SV125</v>
      </c>
      <c r="G89" s="9"/>
      <c r="H89" s="119" t="s">
        <v>129</v>
      </c>
      <c r="I89" s="126" t="s">
        <v>250</v>
      </c>
      <c r="J89" s="4" t="s">
        <v>251</v>
      </c>
      <c r="K89" s="4">
        <v>22</v>
      </c>
      <c r="L89" s="108" t="s">
        <v>174</v>
      </c>
      <c r="M89" s="6"/>
      <c r="N89" s="5"/>
      <c r="O89" s="12" t="s">
        <v>4</v>
      </c>
      <c r="P89" s="50" t="s">
        <v>3</v>
      </c>
    </row>
    <row r="90" spans="1:16" x14ac:dyDescent="0.3">
      <c r="A90" s="49">
        <v>4</v>
      </c>
      <c r="B90" s="2" t="s">
        <v>0</v>
      </c>
      <c r="C90" s="2" t="s">
        <v>1</v>
      </c>
      <c r="D90" s="2" t="s">
        <v>46</v>
      </c>
      <c r="E90" s="2">
        <v>145</v>
      </c>
      <c r="F90" s="13" t="str">
        <f t="shared" si="5"/>
        <v>SV145</v>
      </c>
      <c r="G90" s="9"/>
      <c r="H90" s="119" t="s">
        <v>130</v>
      </c>
      <c r="I90" s="126" t="s">
        <v>271</v>
      </c>
      <c r="J90" s="4" t="s">
        <v>272</v>
      </c>
      <c r="K90" s="4">
        <v>20</v>
      </c>
      <c r="L90" s="108" t="s">
        <v>174</v>
      </c>
      <c r="M90" s="6"/>
      <c r="N90" s="5"/>
      <c r="O90" s="12" t="s">
        <v>4</v>
      </c>
      <c r="P90" s="50" t="s">
        <v>3</v>
      </c>
    </row>
    <row r="91" spans="1:16" x14ac:dyDescent="0.3">
      <c r="A91" s="49">
        <v>5</v>
      </c>
      <c r="B91" s="2" t="s">
        <v>0</v>
      </c>
      <c r="C91" s="2" t="s">
        <v>1</v>
      </c>
      <c r="D91" s="2" t="s">
        <v>46</v>
      </c>
      <c r="E91" s="2">
        <v>149</v>
      </c>
      <c r="F91" s="13" t="str">
        <f t="shared" si="5"/>
        <v>SV149</v>
      </c>
      <c r="G91" s="9"/>
      <c r="H91" s="119" t="s">
        <v>131</v>
      </c>
      <c r="I91" s="126" t="s">
        <v>245</v>
      </c>
      <c r="J91" s="4" t="s">
        <v>252</v>
      </c>
      <c r="K91" s="4">
        <v>23</v>
      </c>
      <c r="L91" s="108" t="s">
        <v>174</v>
      </c>
      <c r="M91" s="6"/>
      <c r="N91" s="5"/>
      <c r="O91" s="12" t="s">
        <v>4</v>
      </c>
      <c r="P91" s="50" t="s">
        <v>3</v>
      </c>
    </row>
    <row r="92" spans="1:16" x14ac:dyDescent="0.3">
      <c r="A92" s="49">
        <v>6</v>
      </c>
      <c r="B92" s="2" t="s">
        <v>0</v>
      </c>
      <c r="C92" s="2" t="s">
        <v>1</v>
      </c>
      <c r="D92" s="2" t="s">
        <v>46</v>
      </c>
      <c r="E92" s="2">
        <v>323</v>
      </c>
      <c r="F92" s="15" t="str">
        <f t="shared" si="5"/>
        <v>SV323</v>
      </c>
      <c r="G92" s="9"/>
      <c r="H92" s="119" t="s">
        <v>132</v>
      </c>
      <c r="I92" s="126" t="s">
        <v>253</v>
      </c>
      <c r="J92" s="4" t="s">
        <v>254</v>
      </c>
      <c r="K92" s="4">
        <v>21</v>
      </c>
      <c r="L92" s="108" t="s">
        <v>175</v>
      </c>
      <c r="M92" s="6"/>
      <c r="N92" s="5"/>
      <c r="O92" s="12" t="s">
        <v>4</v>
      </c>
      <c r="P92" s="50" t="s">
        <v>3</v>
      </c>
    </row>
    <row r="93" spans="1:16" x14ac:dyDescent="0.3">
      <c r="A93" s="49">
        <v>7</v>
      </c>
      <c r="B93" s="2" t="s">
        <v>0</v>
      </c>
      <c r="C93" s="2" t="s">
        <v>1</v>
      </c>
      <c r="D93" s="2" t="s">
        <v>126</v>
      </c>
      <c r="E93" s="2">
        <v>124</v>
      </c>
      <c r="F93" s="2" t="str">
        <f t="shared" si="5"/>
        <v>MV124</v>
      </c>
      <c r="G93" s="9"/>
      <c r="H93" s="119" t="s">
        <v>133</v>
      </c>
      <c r="I93" s="126" t="s">
        <v>267</v>
      </c>
      <c r="J93" s="4" t="s">
        <v>268</v>
      </c>
      <c r="K93" s="4">
        <v>94</v>
      </c>
      <c r="L93" s="108" t="s">
        <v>176</v>
      </c>
      <c r="M93" s="19"/>
      <c r="N93" s="20"/>
      <c r="O93" s="12" t="s">
        <v>4</v>
      </c>
      <c r="P93" s="50" t="s">
        <v>3</v>
      </c>
    </row>
    <row r="94" spans="1:16" x14ac:dyDescent="0.3">
      <c r="A94" s="49">
        <v>8</v>
      </c>
      <c r="B94" s="2" t="s">
        <v>0</v>
      </c>
      <c r="C94" s="2" t="s">
        <v>1</v>
      </c>
      <c r="D94" s="2" t="s">
        <v>126</v>
      </c>
      <c r="E94" s="2">
        <v>131</v>
      </c>
      <c r="F94" s="2" t="str">
        <f t="shared" si="5"/>
        <v>MV131</v>
      </c>
      <c r="G94" s="9"/>
      <c r="H94" s="119" t="s">
        <v>134</v>
      </c>
      <c r="I94" s="126" t="s">
        <v>270</v>
      </c>
      <c r="J94" s="4" t="s">
        <v>269</v>
      </c>
      <c r="K94" s="4">
        <v>91</v>
      </c>
      <c r="L94" s="108" t="s">
        <v>176</v>
      </c>
      <c r="M94" s="6"/>
      <c r="N94" s="5"/>
      <c r="O94" s="12" t="s">
        <v>4</v>
      </c>
      <c r="P94" s="50" t="s">
        <v>3</v>
      </c>
    </row>
    <row r="95" spans="1:16" ht="16.5" customHeight="1" x14ac:dyDescent="0.3">
      <c r="A95" s="49">
        <v>9</v>
      </c>
      <c r="B95" s="2" t="s">
        <v>0</v>
      </c>
      <c r="C95" s="2" t="s">
        <v>1</v>
      </c>
      <c r="D95" s="2" t="s">
        <v>126</v>
      </c>
      <c r="E95" s="2">
        <v>148</v>
      </c>
      <c r="F95" s="2" t="str">
        <f t="shared" si="5"/>
        <v>MV148</v>
      </c>
      <c r="G95" s="9"/>
      <c r="H95" s="119" t="s">
        <v>135</v>
      </c>
      <c r="I95" s="126" t="s">
        <v>261</v>
      </c>
      <c r="J95" s="4" t="s">
        <v>262</v>
      </c>
      <c r="K95" s="4">
        <v>97</v>
      </c>
      <c r="L95" s="108" t="s">
        <v>176</v>
      </c>
      <c r="M95" s="6"/>
      <c r="N95" s="5"/>
      <c r="O95" s="12" t="s">
        <v>15</v>
      </c>
      <c r="P95" s="50" t="s">
        <v>3</v>
      </c>
    </row>
    <row r="96" spans="1:16" x14ac:dyDescent="0.3">
      <c r="A96" s="49">
        <v>10</v>
      </c>
      <c r="B96" s="2" t="s">
        <v>0</v>
      </c>
      <c r="C96" s="2" t="s">
        <v>1</v>
      </c>
      <c r="D96" s="2" t="s">
        <v>126</v>
      </c>
      <c r="E96" s="2">
        <v>150</v>
      </c>
      <c r="F96" s="2" t="str">
        <f t="shared" si="5"/>
        <v>MV150</v>
      </c>
      <c r="G96" s="9"/>
      <c r="H96" s="119" t="s">
        <v>136</v>
      </c>
      <c r="I96" s="126" t="s">
        <v>263</v>
      </c>
      <c r="J96" s="4" t="s">
        <v>264</v>
      </c>
      <c r="K96" s="4">
        <v>96</v>
      </c>
      <c r="L96" s="108" t="s">
        <v>176</v>
      </c>
      <c r="M96" s="6"/>
      <c r="N96" s="5"/>
      <c r="O96" s="12" t="s">
        <v>15</v>
      </c>
      <c r="P96" s="50" t="s">
        <v>3</v>
      </c>
    </row>
    <row r="97" spans="1:16" ht="17.25" customHeight="1" x14ac:dyDescent="0.3">
      <c r="A97" s="49">
        <v>11</v>
      </c>
      <c r="B97" s="2" t="s">
        <v>0</v>
      </c>
      <c r="C97" s="2" t="s">
        <v>1</v>
      </c>
      <c r="D97" s="2" t="s">
        <v>126</v>
      </c>
      <c r="E97" s="2">
        <v>155</v>
      </c>
      <c r="F97" s="16" t="str">
        <f t="shared" si="5"/>
        <v>MV155</v>
      </c>
      <c r="G97" s="9"/>
      <c r="H97" s="119" t="s">
        <v>137</v>
      </c>
      <c r="I97" s="126" t="s">
        <v>255</v>
      </c>
      <c r="J97" s="4" t="s">
        <v>256</v>
      </c>
      <c r="K97" s="4">
        <v>16</v>
      </c>
      <c r="L97" s="108" t="s">
        <v>176</v>
      </c>
      <c r="M97" s="6"/>
      <c r="N97" s="5"/>
      <c r="O97" s="12" t="s">
        <v>15</v>
      </c>
      <c r="P97" s="50" t="s">
        <v>3</v>
      </c>
    </row>
    <row r="98" spans="1:16" ht="17.25" customHeight="1" x14ac:dyDescent="0.3">
      <c r="A98" s="49">
        <v>12</v>
      </c>
      <c r="B98" s="2" t="s">
        <v>0</v>
      </c>
      <c r="C98" s="2" t="s">
        <v>1</v>
      </c>
      <c r="D98" s="2" t="s">
        <v>126</v>
      </c>
      <c r="E98" s="2">
        <v>158</v>
      </c>
      <c r="F98" s="16" t="str">
        <f t="shared" si="5"/>
        <v>MV158</v>
      </c>
      <c r="G98" s="9"/>
      <c r="H98" s="119" t="s">
        <v>138</v>
      </c>
      <c r="I98" s="126" t="s">
        <v>265</v>
      </c>
      <c r="J98" s="4" t="s">
        <v>266</v>
      </c>
      <c r="K98" s="4">
        <v>95</v>
      </c>
      <c r="L98" s="108" t="s">
        <v>176</v>
      </c>
      <c r="M98" s="6"/>
      <c r="N98" s="5"/>
      <c r="O98" s="12" t="s">
        <v>4</v>
      </c>
      <c r="P98" s="50" t="s">
        <v>3</v>
      </c>
    </row>
    <row r="99" spans="1:16" ht="17.25" customHeight="1" x14ac:dyDescent="0.3">
      <c r="A99" s="49">
        <v>13</v>
      </c>
      <c r="B99" s="2" t="s">
        <v>0</v>
      </c>
      <c r="C99" s="2" t="s">
        <v>1</v>
      </c>
      <c r="D99" s="2" t="s">
        <v>126</v>
      </c>
      <c r="E99" s="2">
        <v>300</v>
      </c>
      <c r="F99" s="2" t="str">
        <f t="shared" si="5"/>
        <v>MV300</v>
      </c>
      <c r="G99" s="9"/>
      <c r="H99" s="119" t="s">
        <v>139</v>
      </c>
      <c r="I99" s="126" t="s">
        <v>257</v>
      </c>
      <c r="J99" s="4" t="s">
        <v>258</v>
      </c>
      <c r="K99" s="4">
        <v>15</v>
      </c>
      <c r="L99" s="108" t="s">
        <v>176</v>
      </c>
      <c r="M99" s="6"/>
      <c r="N99" s="5"/>
      <c r="O99" s="12" t="s">
        <v>4</v>
      </c>
      <c r="P99" s="50" t="s">
        <v>3</v>
      </c>
    </row>
    <row r="100" spans="1:16" ht="17.25" customHeight="1" x14ac:dyDescent="0.3">
      <c r="A100" s="49">
        <v>15</v>
      </c>
      <c r="B100" s="2" t="s">
        <v>0</v>
      </c>
      <c r="C100" s="2" t="s">
        <v>1</v>
      </c>
      <c r="D100" s="2" t="s">
        <v>126</v>
      </c>
      <c r="E100" s="2">
        <v>390</v>
      </c>
      <c r="F100" s="2" t="str">
        <f>$D100 &amp; $E100</f>
        <v>MV390</v>
      </c>
      <c r="G100" s="9"/>
      <c r="H100" s="119" t="s">
        <v>140</v>
      </c>
      <c r="I100" s="126" t="s">
        <v>259</v>
      </c>
      <c r="J100" s="4" t="s">
        <v>260</v>
      </c>
      <c r="K100" s="4">
        <v>98</v>
      </c>
      <c r="L100" s="108" t="s">
        <v>176</v>
      </c>
      <c r="M100" s="6"/>
      <c r="N100" s="5"/>
      <c r="O100" s="12" t="s">
        <v>4</v>
      </c>
      <c r="P100" s="50" t="s">
        <v>3</v>
      </c>
    </row>
    <row r="101" spans="1:16" ht="17.25" customHeight="1" x14ac:dyDescent="0.3">
      <c r="A101" s="49">
        <v>16</v>
      </c>
      <c r="B101" s="2"/>
      <c r="C101" s="2"/>
      <c r="D101" s="2"/>
      <c r="E101" s="2"/>
      <c r="F101" s="2"/>
      <c r="G101" s="9"/>
      <c r="H101" s="193" t="s">
        <v>125</v>
      </c>
      <c r="I101" s="138"/>
      <c r="J101" s="4"/>
      <c r="K101" s="4"/>
      <c r="L101" s="4"/>
      <c r="M101" s="6"/>
      <c r="N101" s="5"/>
      <c r="O101" s="12"/>
      <c r="P101" s="50"/>
    </row>
    <row r="102" spans="1:16" ht="17.25" customHeight="1" thickBot="1" x14ac:dyDescent="0.35">
      <c r="A102" s="51">
        <v>17</v>
      </c>
      <c r="B102" s="52"/>
      <c r="C102" s="52"/>
      <c r="D102" s="52"/>
      <c r="E102" s="52"/>
      <c r="F102" s="52"/>
      <c r="G102" s="106"/>
      <c r="H102" s="190"/>
      <c r="I102" s="139"/>
      <c r="J102" s="57"/>
      <c r="K102" s="57"/>
      <c r="L102" s="57"/>
      <c r="M102" s="58"/>
      <c r="N102" s="59"/>
      <c r="O102" s="96"/>
      <c r="P102" s="60"/>
    </row>
    <row r="103" spans="1:16" ht="17.25" customHeight="1" thickBot="1" x14ac:dyDescent="0.35">
      <c r="A103" s="97"/>
      <c r="B103" s="98"/>
      <c r="C103" s="98"/>
      <c r="D103" s="98"/>
      <c r="E103" s="98"/>
      <c r="F103" s="98"/>
      <c r="G103" s="99"/>
      <c r="H103" s="100"/>
      <c r="I103" s="140"/>
      <c r="J103" s="101"/>
      <c r="K103" s="101"/>
      <c r="L103" s="101"/>
      <c r="M103" s="102"/>
      <c r="N103" s="103"/>
      <c r="O103" s="104"/>
      <c r="P103" s="105"/>
    </row>
    <row r="104" spans="1:16" x14ac:dyDescent="0.3">
      <c r="A104" s="95">
        <v>1</v>
      </c>
      <c r="B104" s="21" t="s">
        <v>0</v>
      </c>
      <c r="C104" s="21" t="s">
        <v>1</v>
      </c>
      <c r="D104" s="21" t="s">
        <v>48</v>
      </c>
      <c r="E104" s="21" t="s">
        <v>49</v>
      </c>
      <c r="F104" s="21" t="str">
        <f t="shared" si="5"/>
        <v>MC SW</v>
      </c>
      <c r="G104" s="32"/>
      <c r="H104" s="121" t="s">
        <v>50</v>
      </c>
      <c r="I104" s="141" t="s">
        <v>273</v>
      </c>
      <c r="J104" s="24" t="s">
        <v>274</v>
      </c>
      <c r="K104" s="24">
        <v>76</v>
      </c>
      <c r="L104" s="24"/>
      <c r="M104" s="25"/>
      <c r="N104" s="26"/>
      <c r="O104" s="31" t="s">
        <v>177</v>
      </c>
      <c r="P104" s="77" t="s">
        <v>178</v>
      </c>
    </row>
    <row r="105" spans="1:16" x14ac:dyDescent="0.3">
      <c r="A105" s="95">
        <v>2</v>
      </c>
      <c r="B105" s="21" t="s">
        <v>0</v>
      </c>
      <c r="C105" s="21" t="s">
        <v>1</v>
      </c>
      <c r="D105" s="21" t="s">
        <v>47</v>
      </c>
      <c r="E105" s="21">
        <v>193</v>
      </c>
      <c r="F105" s="21" t="str">
        <f t="shared" si="5"/>
        <v>HT193</v>
      </c>
      <c r="G105" s="111" t="s">
        <v>187</v>
      </c>
      <c r="H105" s="121" t="s">
        <v>141</v>
      </c>
      <c r="I105" s="141" t="s">
        <v>275</v>
      </c>
      <c r="J105" s="24" t="s">
        <v>278</v>
      </c>
      <c r="K105" s="24">
        <v>77</v>
      </c>
      <c r="L105" s="24"/>
      <c r="M105" s="25"/>
      <c r="N105" s="26"/>
      <c r="O105" s="31" t="s">
        <v>177</v>
      </c>
      <c r="P105" s="77" t="s">
        <v>178</v>
      </c>
    </row>
    <row r="106" spans="1:16" x14ac:dyDescent="0.3">
      <c r="A106" s="95">
        <v>3</v>
      </c>
      <c r="B106" s="2" t="s">
        <v>0</v>
      </c>
      <c r="C106" s="2" t="s">
        <v>1</v>
      </c>
      <c r="D106" s="2" t="s">
        <v>47</v>
      </c>
      <c r="E106" s="2">
        <v>194</v>
      </c>
      <c r="F106" s="2" t="str">
        <f t="shared" si="5"/>
        <v>HT194</v>
      </c>
      <c r="G106" s="112" t="s">
        <v>187</v>
      </c>
      <c r="H106" s="119" t="s">
        <v>141</v>
      </c>
      <c r="I106" s="141" t="s">
        <v>276</v>
      </c>
      <c r="J106" s="24" t="s">
        <v>277</v>
      </c>
      <c r="K106" s="24">
        <v>79</v>
      </c>
      <c r="L106" s="4"/>
      <c r="M106" s="6"/>
      <c r="N106" s="5"/>
      <c r="O106" s="12" t="s">
        <v>177</v>
      </c>
      <c r="P106" s="50" t="s">
        <v>178</v>
      </c>
    </row>
    <row r="107" spans="1:16" x14ac:dyDescent="0.3">
      <c r="A107" s="95">
        <v>4</v>
      </c>
      <c r="B107" s="2" t="s">
        <v>0</v>
      </c>
      <c r="C107" s="2" t="s">
        <v>1</v>
      </c>
      <c r="D107" s="2" t="s">
        <v>47</v>
      </c>
      <c r="E107" s="2">
        <v>195</v>
      </c>
      <c r="F107" s="2" t="str">
        <f t="shared" si="5"/>
        <v>HT195</v>
      </c>
      <c r="G107" s="112" t="s">
        <v>188</v>
      </c>
      <c r="H107" s="119" t="s">
        <v>142</v>
      </c>
      <c r="I107" s="141" t="s">
        <v>279</v>
      </c>
      <c r="J107" s="24" t="s">
        <v>280</v>
      </c>
      <c r="K107" s="24">
        <v>81</v>
      </c>
      <c r="L107" s="4"/>
      <c r="M107" s="6"/>
      <c r="N107" s="5"/>
      <c r="O107" s="12" t="s">
        <v>177</v>
      </c>
      <c r="P107" s="50" t="s">
        <v>178</v>
      </c>
    </row>
    <row r="108" spans="1:16" x14ac:dyDescent="0.3">
      <c r="A108" s="95">
        <v>5</v>
      </c>
      <c r="B108" s="2" t="s">
        <v>0</v>
      </c>
      <c r="C108" s="2" t="s">
        <v>1</v>
      </c>
      <c r="D108" s="2" t="s">
        <v>47</v>
      </c>
      <c r="E108" s="2">
        <v>196</v>
      </c>
      <c r="F108" s="2" t="str">
        <f t="shared" si="5"/>
        <v>HT196</v>
      </c>
      <c r="G108" s="112" t="s">
        <v>188</v>
      </c>
      <c r="H108" s="119" t="s">
        <v>143</v>
      </c>
      <c r="I108" s="141" t="s">
        <v>281</v>
      </c>
      <c r="J108" s="24" t="s">
        <v>282</v>
      </c>
      <c r="K108" s="24">
        <v>83</v>
      </c>
      <c r="L108" s="4"/>
      <c r="M108" s="6"/>
      <c r="N108" s="5"/>
      <c r="O108" s="12" t="s">
        <v>177</v>
      </c>
      <c r="P108" s="50" t="s">
        <v>178</v>
      </c>
    </row>
    <row r="109" spans="1:16" ht="17.25" thickBot="1" x14ac:dyDescent="0.35">
      <c r="A109" s="95">
        <v>6</v>
      </c>
      <c r="B109" s="2" t="s">
        <v>0</v>
      </c>
      <c r="C109" s="2" t="s">
        <v>1</v>
      </c>
      <c r="D109" s="2" t="s">
        <v>51</v>
      </c>
      <c r="E109" s="2">
        <v>175</v>
      </c>
      <c r="F109" s="2" t="str">
        <f t="shared" si="5"/>
        <v>IGN175</v>
      </c>
      <c r="G109" s="107"/>
      <c r="H109" s="119" t="s">
        <v>52</v>
      </c>
      <c r="I109" s="126" t="s">
        <v>283</v>
      </c>
      <c r="J109" s="24" t="s">
        <v>284</v>
      </c>
      <c r="K109" s="24">
        <v>73</v>
      </c>
      <c r="L109" s="4" t="s">
        <v>179</v>
      </c>
      <c r="M109" s="6"/>
      <c r="N109" s="5"/>
      <c r="O109" s="12" t="s">
        <v>177</v>
      </c>
      <c r="P109" s="50" t="s">
        <v>178</v>
      </c>
    </row>
    <row r="110" spans="1:16" x14ac:dyDescent="0.3">
      <c r="A110" s="95">
        <v>7</v>
      </c>
      <c r="B110" s="2" t="s">
        <v>0</v>
      </c>
      <c r="C110" s="2" t="s">
        <v>1</v>
      </c>
      <c r="D110" s="2"/>
      <c r="E110" s="2"/>
      <c r="F110" s="2"/>
      <c r="G110" s="107"/>
      <c r="H110" s="189" t="s">
        <v>189</v>
      </c>
      <c r="I110" s="36"/>
      <c r="J110" s="4"/>
      <c r="K110" s="4"/>
      <c r="L110" s="4"/>
      <c r="M110" s="6"/>
      <c r="N110" s="5"/>
      <c r="O110" s="12" t="s">
        <v>177</v>
      </c>
      <c r="P110" s="50" t="s">
        <v>178</v>
      </c>
    </row>
    <row r="111" spans="1:16" ht="17.25" thickBot="1" x14ac:dyDescent="0.35">
      <c r="A111" s="52">
        <v>8</v>
      </c>
      <c r="B111" s="52" t="s">
        <v>0</v>
      </c>
      <c r="C111" s="52" t="s">
        <v>1</v>
      </c>
      <c r="D111" s="52"/>
      <c r="E111" s="52"/>
      <c r="F111" s="52"/>
      <c r="G111" s="106"/>
      <c r="H111" s="190"/>
      <c r="I111" s="82"/>
      <c r="J111" s="57"/>
      <c r="K111" s="57"/>
      <c r="L111" s="57"/>
      <c r="M111" s="58"/>
      <c r="N111" s="59"/>
      <c r="O111" s="96" t="s">
        <v>177</v>
      </c>
      <c r="P111" s="60" t="s">
        <v>178</v>
      </c>
    </row>
  </sheetData>
  <autoFilter ref="A1:P112" xr:uid="{00000000-0009-0000-0000-000000000000}">
    <sortState xmlns:xlrd2="http://schemas.microsoft.com/office/spreadsheetml/2017/richdata2" ref="A2:Q125">
      <sortCondition ref="A1:A125"/>
    </sortState>
  </autoFilter>
  <mergeCells count="9">
    <mergeCell ref="H84:H85"/>
    <mergeCell ref="H101:H102"/>
    <mergeCell ref="H110:H111"/>
    <mergeCell ref="L8:L19"/>
    <mergeCell ref="H20:H22"/>
    <mergeCell ref="L24:L42"/>
    <mergeCell ref="H43:H48"/>
    <mergeCell ref="H64:H65"/>
    <mergeCell ref="H76:H77"/>
  </mergeCells>
  <phoneticPr fontId="1" type="noConversion"/>
  <conditionalFormatting sqref="H73:H75">
    <cfRule type="expression" dxfId="184" priority="91">
      <formula>#REF!="ETC"</formula>
    </cfRule>
    <cfRule type="expression" dxfId="183" priority="92">
      <formula>#REF!="CITYGAS"</formula>
    </cfRule>
    <cfRule type="expression" dxfId="182" priority="93">
      <formula>#REF!="COGEN"</formula>
    </cfRule>
    <cfRule type="expression" dxfId="181" priority="94">
      <formula>#REF!="DIWATER"</formula>
    </cfRule>
    <cfRule type="expression" dxfId="180" priority="95">
      <formula>#REF!="AIR"</formula>
    </cfRule>
  </conditionalFormatting>
  <conditionalFormatting sqref="H15:I20 H82:I82">
    <cfRule type="expression" dxfId="179" priority="134">
      <formula>#REF!="DIWATER"</formula>
    </cfRule>
    <cfRule type="expression" dxfId="178" priority="133">
      <formula>#REF!="COGEN"</formula>
    </cfRule>
    <cfRule type="expression" dxfId="177" priority="132">
      <formula>#REF!="CITYGAS"</formula>
    </cfRule>
    <cfRule type="expression" dxfId="176" priority="131">
      <formula>#REF!="ETC"</formula>
    </cfRule>
    <cfRule type="expression" dxfId="175" priority="135">
      <formula>#REF!="AIR"</formula>
    </cfRule>
  </conditionalFormatting>
  <conditionalFormatting sqref="H23:I30">
    <cfRule type="expression" dxfId="174" priority="155">
      <formula>#REF!="AIR"</formula>
    </cfRule>
    <cfRule type="expression" dxfId="173" priority="154">
      <formula>#REF!="DIWATER"</formula>
    </cfRule>
    <cfRule type="expression" dxfId="172" priority="153">
      <formula>#REF!="COGEN"</formula>
    </cfRule>
    <cfRule type="expression" dxfId="171" priority="152">
      <formula>#REF!="CITYGAS"</formula>
    </cfRule>
    <cfRule type="expression" dxfId="170" priority="151">
      <formula>#REF!="ETC"</formula>
    </cfRule>
  </conditionalFormatting>
  <conditionalFormatting sqref="H32:I42 L82">
    <cfRule type="expression" dxfId="169" priority="120">
      <formula>$C32="AIR"</formula>
    </cfRule>
    <cfRule type="expression" dxfId="168" priority="116">
      <formula>$C32="ETC"</formula>
    </cfRule>
    <cfRule type="expression" dxfId="167" priority="118">
      <formula>$C32="WATER"</formula>
    </cfRule>
    <cfRule type="expression" dxfId="166" priority="119">
      <formula>$C32="DIWATER"</formula>
    </cfRule>
    <cfRule type="expression" dxfId="165" priority="117">
      <formula>$C32="CITYGAS"</formula>
    </cfRule>
  </conditionalFormatting>
  <conditionalFormatting sqref="H43:I43">
    <cfRule type="expression" dxfId="164" priority="150">
      <formula>#REF!="AIR"</formula>
    </cfRule>
    <cfRule type="expression" dxfId="163" priority="149">
      <formula>#REF!="DIWATER"</formula>
    </cfRule>
    <cfRule type="expression" dxfId="162" priority="148">
      <formula>#REF!="COGEN"</formula>
    </cfRule>
    <cfRule type="expression" dxfId="161" priority="147">
      <formula>#REF!="CITYGAS"</formula>
    </cfRule>
    <cfRule type="expression" dxfId="160" priority="146">
      <formula>#REF!="ETC"</formula>
    </cfRule>
  </conditionalFormatting>
  <conditionalFormatting sqref="H67:I72">
    <cfRule type="expression" dxfId="159" priority="37">
      <formula>#REF!="CITYGAS"</formula>
    </cfRule>
    <cfRule type="expression" dxfId="158" priority="38">
      <formula>#REF!="COGEN"</formula>
    </cfRule>
    <cfRule type="expression" dxfId="157" priority="40">
      <formula>#REF!="AIR"</formula>
    </cfRule>
    <cfRule type="expression" dxfId="156" priority="39">
      <formula>#REF!="DIWATER"</formula>
    </cfRule>
    <cfRule type="expression" dxfId="155" priority="36">
      <formula>#REF!="ETC"</formula>
    </cfRule>
  </conditionalFormatting>
  <conditionalFormatting sqref="H75:I75">
    <cfRule type="expression" dxfId="154" priority="49">
      <formula>#REF!="DIWATER"</formula>
    </cfRule>
    <cfRule type="expression" dxfId="153" priority="48">
      <formula>#REF!="COGEN"</formula>
    </cfRule>
    <cfRule type="expression" dxfId="152" priority="50">
      <formula>#REF!="AIR"</formula>
    </cfRule>
    <cfRule type="expression" dxfId="151" priority="46">
      <formula>#REF!="ETC"</formula>
    </cfRule>
    <cfRule type="expression" dxfId="150" priority="47">
      <formula>#REF!="CITYGAS"</formula>
    </cfRule>
  </conditionalFormatting>
  <conditionalFormatting sqref="H79:I79">
    <cfRule type="expression" dxfId="149" priority="75">
      <formula>#REF!="ETC"</formula>
    </cfRule>
    <cfRule type="expression" dxfId="148" priority="76">
      <formula>#REF!="CITYGAS"</formula>
    </cfRule>
    <cfRule type="expression" dxfId="147" priority="77">
      <formula>#REF!="COGEN"</formula>
    </cfRule>
    <cfRule type="expression" dxfId="146" priority="78">
      <formula>#REF!="DIWATER"</formula>
    </cfRule>
    <cfRule type="expression" dxfId="145" priority="79">
      <formula>#REF!="AIR"</formula>
    </cfRule>
  </conditionalFormatting>
  <conditionalFormatting sqref="H80:I81">
    <cfRule type="expression" dxfId="144" priority="82">
      <formula>$C80="WATER"</formula>
    </cfRule>
    <cfRule type="expression" dxfId="143" priority="83">
      <formula>$C80="DIWATER"</formula>
    </cfRule>
    <cfRule type="expression" dxfId="142" priority="84">
      <formula>$C80="AIR"</formula>
    </cfRule>
    <cfRule type="expression" dxfId="141" priority="81">
      <formula>$C80="CITYGAS"</formula>
    </cfRule>
    <cfRule type="expression" dxfId="140" priority="80">
      <formula>$C80="ETC"</formula>
    </cfRule>
  </conditionalFormatting>
  <conditionalFormatting sqref="H87:I88 H92:I92 H99:H100 H101:I101">
    <cfRule type="expression" dxfId="139" priority="72">
      <formula>$C87="WATER"</formula>
    </cfRule>
    <cfRule type="expression" dxfId="138" priority="73">
      <formula>$C87="DIWATER"</formula>
    </cfRule>
    <cfRule type="expression" dxfId="137" priority="74">
      <formula>$C87="AIR"</formula>
    </cfRule>
  </conditionalFormatting>
  <conditionalFormatting sqref="H87:I101 H103:I110">
    <cfRule type="expression" dxfId="136" priority="61">
      <formula>$C87="ETC"</formula>
    </cfRule>
    <cfRule type="expression" dxfId="135" priority="62">
      <formula>$C87="CITYGAS"</formula>
    </cfRule>
  </conditionalFormatting>
  <conditionalFormatting sqref="H89:I91">
    <cfRule type="expression" dxfId="134" priority="69">
      <formula>$C89="COGEN"</formula>
    </cfRule>
    <cfRule type="expression" dxfId="133" priority="70">
      <formula>$C89="DIWATER"</formula>
    </cfRule>
    <cfRule type="expression" dxfId="132" priority="71">
      <formula>$C89="AIR"</formula>
    </cfRule>
  </conditionalFormatting>
  <conditionalFormatting sqref="H93:I94 H95 H96:I98">
    <cfRule type="expression" dxfId="131" priority="68">
      <formula>$C93="AIR"</formula>
    </cfRule>
    <cfRule type="expression" dxfId="130" priority="67">
      <formula>$C93="DIWATER"</formula>
    </cfRule>
    <cfRule type="expression" dxfId="129" priority="66">
      <formula>$C93="COGEN"</formula>
    </cfRule>
  </conditionalFormatting>
  <conditionalFormatting sqref="H103:I110">
    <cfRule type="expression" dxfId="128" priority="63">
      <formula>$C103="WATER"</formula>
    </cfRule>
    <cfRule type="expression" dxfId="127" priority="64">
      <formula>$C103="DIWATER"</formula>
    </cfRule>
    <cfRule type="expression" dxfId="126" priority="65">
      <formula>$C103="AIR"</formula>
    </cfRule>
  </conditionalFormatting>
  <conditionalFormatting sqref="I73:I74">
    <cfRule type="expression" dxfId="125" priority="31">
      <formula>#REF!="ETC"</formula>
    </cfRule>
    <cfRule type="expression" dxfId="124" priority="34">
      <formula>#REF!="DIWATER"</formula>
    </cfRule>
    <cfRule type="expression" dxfId="123" priority="32">
      <formula>#REF!="CITYGAS"</formula>
    </cfRule>
    <cfRule type="expression" dxfId="122" priority="35">
      <formula>#REF!="AIR"</formula>
    </cfRule>
    <cfRule type="expression" dxfId="121" priority="33">
      <formula>#REF!="COGEN"</formula>
    </cfRule>
  </conditionalFormatting>
  <conditionalFormatting sqref="I89:I92">
    <cfRule type="expression" dxfId="120" priority="23">
      <formula>$C89="DIWATER"</formula>
    </cfRule>
    <cfRule type="expression" dxfId="119" priority="24">
      <formula>$C89="AIR"</formula>
    </cfRule>
  </conditionalFormatting>
  <conditionalFormatting sqref="I89:I100">
    <cfRule type="expression" dxfId="118" priority="1">
      <formula>$C89="WATER"</formula>
    </cfRule>
  </conditionalFormatting>
  <conditionalFormatting sqref="I92">
    <cfRule type="expression" dxfId="117" priority="22">
      <formula>$C92="COGEN"</formula>
    </cfRule>
  </conditionalFormatting>
  <conditionalFormatting sqref="I92:I95">
    <cfRule type="expression" dxfId="116" priority="2">
      <formula>$C92="DIWATER"</formula>
    </cfRule>
    <cfRule type="expression" dxfId="115" priority="3">
      <formula>$C92="AIR"</formula>
    </cfRule>
  </conditionalFormatting>
  <conditionalFormatting sqref="I95">
    <cfRule type="expression" dxfId="114" priority="7">
      <formula>$C95="COGEN"</formula>
    </cfRule>
    <cfRule type="expression" dxfId="113" priority="8">
      <formula>$C95="DIWATER"</formula>
    </cfRule>
    <cfRule type="expression" dxfId="112" priority="9">
      <formula>$C95="AIR"</formula>
    </cfRule>
  </conditionalFormatting>
  <conditionalFormatting sqref="I96:I100">
    <cfRule type="expression" dxfId="111" priority="14">
      <formula>$C96="DIWATER"</formula>
    </cfRule>
    <cfRule type="expression" dxfId="110" priority="15">
      <formula>$C96="AIR"</formula>
    </cfRule>
  </conditionalFormatting>
  <conditionalFormatting sqref="I99:I100">
    <cfRule type="expression" dxfId="109" priority="13">
      <formula>$C99="COGEN"</formula>
    </cfRule>
    <cfRule type="expression" dxfId="108" priority="11">
      <formula>$C99="DIWATER"</formula>
    </cfRule>
    <cfRule type="expression" dxfId="107" priority="12">
      <formula>$C99="AIR"</formula>
    </cfRule>
  </conditionalFormatting>
  <conditionalFormatting sqref="L8">
    <cfRule type="expression" dxfId="106" priority="129">
      <formula>$C8="DIWATER"</formula>
    </cfRule>
    <cfRule type="expression" dxfId="105" priority="128">
      <formula>$C8="COGEN"</formula>
    </cfRule>
    <cfRule type="expression" dxfId="104" priority="127">
      <formula>$C8="CITYGAS"</formula>
    </cfRule>
    <cfRule type="expression" dxfId="103" priority="126">
      <formula>$C8="ETC"</formula>
    </cfRule>
    <cfRule type="expression" dxfId="102" priority="130">
      <formula>$C8="AIR"</formula>
    </cfRule>
  </conditionalFormatting>
  <conditionalFormatting sqref="L24">
    <cfRule type="expression" dxfId="101" priority="125">
      <formula>$C24="AIR"</formula>
    </cfRule>
    <cfRule type="expression" dxfId="100" priority="124">
      <formula>$C24="DIWATER"</formula>
    </cfRule>
    <cfRule type="expression" dxfId="99" priority="122">
      <formula>$C24="CITYGAS"</formula>
    </cfRule>
    <cfRule type="expression" dxfId="98" priority="123">
      <formula>$C24="COGEN"</formula>
    </cfRule>
    <cfRule type="expression" dxfId="97" priority="121">
      <formula>$C24="ETC"</formula>
    </cfRule>
  </conditionalFormatting>
  <conditionalFormatting sqref="L49">
    <cfRule type="expression" dxfId="96" priority="55">
      <formula>#REF!="AIR"</formula>
    </cfRule>
    <cfRule type="expression" dxfId="95" priority="54">
      <formula>#REF!="DIWATER"</formula>
    </cfRule>
    <cfRule type="expression" dxfId="94" priority="53">
      <formula>#REF!="COGEN"</formula>
    </cfRule>
    <cfRule type="expression" dxfId="93" priority="52">
      <formula>#REF!="CITYGAS"</formula>
    </cfRule>
    <cfRule type="expression" dxfId="92" priority="51">
      <formula>#REF!="ETC"</formula>
    </cfRule>
  </conditionalFormatting>
  <conditionalFormatting sqref="L50">
    <cfRule type="expression" dxfId="91" priority="106">
      <formula>$C50="ETC"</formula>
    </cfRule>
    <cfRule type="expression" dxfId="90" priority="107">
      <formula>$C50="CITYGAS"</formula>
    </cfRule>
    <cfRule type="expression" dxfId="89" priority="108">
      <formula>$C50="COGEN"</formula>
    </cfRule>
    <cfRule type="expression" dxfId="88" priority="109">
      <formula>$C50="DIWATER"</formula>
    </cfRule>
    <cfRule type="expression" dxfId="87" priority="110">
      <formula>$C50="AIR"</formula>
    </cfRule>
  </conditionalFormatting>
  <conditionalFormatting sqref="L51:L53 L55:L57 L60:L66">
    <cfRule type="expression" dxfId="86" priority="112">
      <formula>#REF!="CITYGAS"</formula>
    </cfRule>
    <cfRule type="expression" dxfId="85" priority="115">
      <formula>#REF!="AIR"</formula>
    </cfRule>
    <cfRule type="expression" dxfId="84" priority="114">
      <formula>#REF!="DIWATER"</formula>
    </cfRule>
    <cfRule type="expression" dxfId="83" priority="113">
      <formula>#REF!="COGEN"</formula>
    </cfRule>
    <cfRule type="expression" dxfId="82" priority="111">
      <formula>#REF!="ETC"</formula>
    </cfRule>
  </conditionalFormatting>
  <conditionalFormatting sqref="L54">
    <cfRule type="expression" dxfId="81" priority="101">
      <formula>$C54="ETC"</formula>
    </cfRule>
    <cfRule type="expression" dxfId="80" priority="102">
      <formula>$C54="CITYGAS"</formula>
    </cfRule>
    <cfRule type="expression" dxfId="79" priority="103">
      <formula>$C54="COGEN"</formula>
    </cfRule>
    <cfRule type="expression" dxfId="78" priority="105">
      <formula>$C54="AIR"</formula>
    </cfRule>
    <cfRule type="expression" dxfId="77" priority="104">
      <formula>$C54="DIWATER"</formula>
    </cfRule>
  </conditionalFormatting>
  <conditionalFormatting sqref="L58:L59">
    <cfRule type="expression" dxfId="76" priority="96">
      <formula>$C58="ETC"</formula>
    </cfRule>
    <cfRule type="expression" dxfId="75" priority="98">
      <formula>$C58="WATER"</formula>
    </cfRule>
    <cfRule type="expression" dxfId="74" priority="99">
      <formula>$C58="DIWATER"</formula>
    </cfRule>
    <cfRule type="expression" dxfId="73" priority="100">
      <formula>$C58="AIR"</formula>
    </cfRule>
    <cfRule type="expression" dxfId="72" priority="97">
      <formula>$C58="CITYGAS"</formula>
    </cfRule>
  </conditionalFormatting>
  <conditionalFormatting sqref="L68:L71">
    <cfRule type="expression" dxfId="71" priority="87">
      <formula>$C68="CITYGAS"</formula>
    </cfRule>
  </conditionalFormatting>
  <conditionalFormatting sqref="L68:L74">
    <cfRule type="expression" dxfId="70" priority="89">
      <formula>$C68="DIWATER"</formula>
    </cfRule>
    <cfRule type="expression" dxfId="69" priority="90">
      <formula>$C68="AIR"</formula>
    </cfRule>
    <cfRule type="expression" dxfId="68" priority="86">
      <formula>$C68="ETC"</formula>
    </cfRule>
    <cfRule type="expression" dxfId="67" priority="88">
      <formula>$C68="WATER"</formula>
    </cfRule>
  </conditionalFormatting>
  <conditionalFormatting sqref="L72:L74">
    <cfRule type="expression" dxfId="66" priority="85">
      <formula>$C72="CITYGAS"</formula>
    </cfRule>
  </conditionalFormatting>
  <conditionalFormatting sqref="L87:L92">
    <cfRule type="expression" dxfId="65" priority="58">
      <formula>$C87="WATER"</formula>
    </cfRule>
    <cfRule type="expression" dxfId="64" priority="59">
      <formula>$C87="DIWATER"</formula>
    </cfRule>
    <cfRule type="expression" dxfId="63" priority="60">
      <formula>$C87="AIR"</formula>
    </cfRule>
    <cfRule type="expression" dxfId="62" priority="56">
      <formula>$C87="ETC"</formula>
    </cfRule>
    <cfRule type="expression" dxfId="61" priority="57">
      <formula>$C87="CITYGAS"</formula>
    </cfRule>
  </conditionalFormatting>
  <pageMargins left="0.23622047244094491" right="0.23622047244094491" top="0.39370078740157483" bottom="0.39370078740157483" header="0" footer="0"/>
  <pageSetup paperSize="9" scale="58" fitToHeight="0" orientation="landscape" r:id="rId1"/>
  <rowBreaks count="1" manualBreakCount="1">
    <brk id="66" max="19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D4:Q41"/>
  <sheetViews>
    <sheetView topLeftCell="C1" zoomScale="85" zoomScaleNormal="85" workbookViewId="0">
      <selection activeCell="J12" sqref="J12"/>
    </sheetView>
  </sheetViews>
  <sheetFormatPr defaultRowHeight="16.5" x14ac:dyDescent="0.3"/>
  <cols>
    <col min="4" max="4" width="7" customWidth="1"/>
    <col min="5" max="5" width="42.625" customWidth="1"/>
    <col min="8" max="8" width="4.875" customWidth="1"/>
    <col min="9" max="9" width="32.75" customWidth="1"/>
    <col min="10" max="10" width="11.625" customWidth="1"/>
    <col min="11" max="11" width="12.25" customWidth="1"/>
    <col min="12" max="12" width="14.5" customWidth="1"/>
    <col min="13" max="13" width="3.75" customWidth="1"/>
    <col min="14" max="14" width="34.875" customWidth="1"/>
    <col min="15" max="15" width="12.375" customWidth="1"/>
    <col min="16" max="17" width="14.375" customWidth="1"/>
  </cols>
  <sheetData>
    <row r="4" spans="4:17" ht="17.25" thickBot="1" x14ac:dyDescent="0.35">
      <c r="E4" t="s">
        <v>330</v>
      </c>
      <c r="I4" t="s">
        <v>331</v>
      </c>
      <c r="N4" t="s">
        <v>333</v>
      </c>
    </row>
    <row r="5" spans="4:17" ht="31.5" customHeight="1" thickBot="1" x14ac:dyDescent="0.35">
      <c r="D5" s="173" t="s">
        <v>318</v>
      </c>
      <c r="E5" s="173" t="s">
        <v>319</v>
      </c>
      <c r="F5" s="173" t="s">
        <v>320</v>
      </c>
      <c r="G5" s="173" t="s">
        <v>321</v>
      </c>
      <c r="H5" s="174"/>
      <c r="I5" s="175" t="s">
        <v>322</v>
      </c>
      <c r="J5" s="175" t="s">
        <v>193</v>
      </c>
      <c r="K5" s="175" t="s">
        <v>325</v>
      </c>
      <c r="L5" s="175" t="s">
        <v>326</v>
      </c>
      <c r="M5" s="174"/>
      <c r="N5" s="176" t="s">
        <v>329</v>
      </c>
      <c r="O5" s="177" t="s">
        <v>193</v>
      </c>
      <c r="P5" s="177" t="s">
        <v>327</v>
      </c>
      <c r="Q5" s="178" t="s">
        <v>328</v>
      </c>
    </row>
    <row r="6" spans="4:17" x14ac:dyDescent="0.3">
      <c r="D6" s="23" t="s">
        <v>55</v>
      </c>
      <c r="E6" s="121" t="s">
        <v>36</v>
      </c>
      <c r="F6" s="24" t="s">
        <v>285</v>
      </c>
      <c r="G6" s="160"/>
      <c r="I6" s="161" t="s">
        <v>78</v>
      </c>
      <c r="J6" s="24" t="s">
        <v>203</v>
      </c>
      <c r="K6" s="162"/>
      <c r="L6" s="155"/>
      <c r="N6" s="167" t="s">
        <v>81</v>
      </c>
      <c r="O6" s="4" t="s">
        <v>231</v>
      </c>
      <c r="P6" s="151"/>
      <c r="Q6" s="168"/>
    </row>
    <row r="7" spans="4:17" x14ac:dyDescent="0.3">
      <c r="D7" s="3" t="s">
        <v>55</v>
      </c>
      <c r="E7" s="119" t="s">
        <v>37</v>
      </c>
      <c r="F7" s="4" t="s">
        <v>286</v>
      </c>
      <c r="G7" s="151"/>
      <c r="I7" s="154" t="s">
        <v>80</v>
      </c>
      <c r="J7" s="24" t="s">
        <v>204</v>
      </c>
      <c r="K7" s="162"/>
      <c r="L7" s="155"/>
      <c r="N7" s="169" t="s">
        <v>73</v>
      </c>
      <c r="O7" s="4" t="s">
        <v>238</v>
      </c>
      <c r="P7" s="151"/>
      <c r="Q7" s="168"/>
    </row>
    <row r="8" spans="4:17" x14ac:dyDescent="0.3">
      <c r="D8" s="3" t="s">
        <v>55</v>
      </c>
      <c r="E8" s="119" t="s">
        <v>151</v>
      </c>
      <c r="F8" s="4" t="s">
        <v>287</v>
      </c>
      <c r="G8" s="151"/>
      <c r="I8" s="154" t="s">
        <v>65</v>
      </c>
      <c r="J8" s="24" t="s">
        <v>211</v>
      </c>
      <c r="K8" s="162"/>
      <c r="L8" s="155"/>
      <c r="N8" s="169" t="s">
        <v>72</v>
      </c>
      <c r="O8" s="4" t="s">
        <v>224</v>
      </c>
      <c r="P8" s="151"/>
      <c r="Q8" s="168"/>
    </row>
    <row r="9" spans="4:17" x14ac:dyDescent="0.3">
      <c r="D9" s="3" t="s">
        <v>55</v>
      </c>
      <c r="E9" s="119" t="s">
        <v>152</v>
      </c>
      <c r="F9" s="4" t="s">
        <v>288</v>
      </c>
      <c r="G9" s="151"/>
      <c r="I9" s="154" t="s">
        <v>66</v>
      </c>
      <c r="J9" s="24" t="s">
        <v>212</v>
      </c>
      <c r="K9" s="162"/>
      <c r="L9" s="155"/>
      <c r="N9" s="169" t="s">
        <v>76</v>
      </c>
      <c r="O9" s="4" t="s">
        <v>226</v>
      </c>
      <c r="P9" s="151"/>
      <c r="Q9" s="168"/>
    </row>
    <row r="10" spans="4:17" x14ac:dyDescent="0.3">
      <c r="D10" s="3" t="s">
        <v>55</v>
      </c>
      <c r="E10" s="119" t="s">
        <v>53</v>
      </c>
      <c r="F10" s="4" t="s">
        <v>289</v>
      </c>
      <c r="G10" s="151"/>
      <c r="I10" s="156" t="s">
        <v>101</v>
      </c>
      <c r="J10" s="24" t="s">
        <v>207</v>
      </c>
      <c r="K10" s="162"/>
      <c r="L10" s="155"/>
      <c r="N10" s="169" t="s">
        <v>122</v>
      </c>
      <c r="O10" s="4" t="s">
        <v>234</v>
      </c>
      <c r="P10" s="151"/>
      <c r="Q10" s="168"/>
    </row>
    <row r="11" spans="4:17" x14ac:dyDescent="0.3">
      <c r="D11" s="3" t="s">
        <v>55</v>
      </c>
      <c r="E11" s="122" t="s">
        <v>63</v>
      </c>
      <c r="F11" s="4" t="s">
        <v>290</v>
      </c>
      <c r="G11" s="151"/>
      <c r="I11" s="154" t="s">
        <v>67</v>
      </c>
      <c r="J11" s="24" t="s">
        <v>335</v>
      </c>
      <c r="K11" s="162"/>
      <c r="L11" s="155"/>
      <c r="N11" s="154" t="s">
        <v>123</v>
      </c>
      <c r="O11" s="4" t="s">
        <v>239</v>
      </c>
      <c r="P11" s="151"/>
      <c r="Q11" s="168"/>
    </row>
    <row r="12" spans="4:17" x14ac:dyDescent="0.3">
      <c r="D12" s="3" t="s">
        <v>55</v>
      </c>
      <c r="E12" s="122" t="s">
        <v>64</v>
      </c>
      <c r="F12" s="4" t="s">
        <v>291</v>
      </c>
      <c r="G12" s="151"/>
      <c r="I12" s="154" t="s">
        <v>102</v>
      </c>
      <c r="J12" s="24" t="s">
        <v>209</v>
      </c>
      <c r="K12" s="162"/>
      <c r="L12" s="155"/>
      <c r="N12" s="169" t="s">
        <v>74</v>
      </c>
      <c r="O12" s="4" t="s">
        <v>235</v>
      </c>
      <c r="P12" s="151"/>
      <c r="Q12" s="168"/>
    </row>
    <row r="13" spans="4:17" x14ac:dyDescent="0.3">
      <c r="D13" s="3" t="s">
        <v>55</v>
      </c>
      <c r="E13" s="123" t="s">
        <v>112</v>
      </c>
      <c r="F13" s="4" t="s">
        <v>292</v>
      </c>
      <c r="G13" s="151"/>
      <c r="I13" s="156" t="s">
        <v>156</v>
      </c>
      <c r="J13" s="24" t="s">
        <v>210</v>
      </c>
      <c r="K13" s="162"/>
      <c r="L13" s="155"/>
      <c r="N13" s="154" t="s">
        <v>75</v>
      </c>
      <c r="O13" s="4" t="s">
        <v>232</v>
      </c>
      <c r="P13" s="151"/>
      <c r="Q13" s="168"/>
    </row>
    <row r="14" spans="4:17" ht="17.25" thickBot="1" x14ac:dyDescent="0.35">
      <c r="D14" s="3" t="s">
        <v>55</v>
      </c>
      <c r="E14" s="119" t="s">
        <v>113</v>
      </c>
      <c r="F14" s="4" t="s">
        <v>293</v>
      </c>
      <c r="G14" s="151"/>
      <c r="I14" s="156" t="s">
        <v>159</v>
      </c>
      <c r="J14" s="4" t="s">
        <v>214</v>
      </c>
      <c r="K14" s="162"/>
      <c r="L14" s="157"/>
      <c r="N14" s="170" t="s">
        <v>82</v>
      </c>
      <c r="O14" s="57" t="s">
        <v>228</v>
      </c>
      <c r="P14" s="153"/>
      <c r="Q14" s="171"/>
    </row>
    <row r="15" spans="4:17" x14ac:dyDescent="0.3">
      <c r="D15" s="3" t="s">
        <v>55</v>
      </c>
      <c r="E15" s="119" t="s">
        <v>154</v>
      </c>
      <c r="F15" s="4" t="s">
        <v>294</v>
      </c>
      <c r="G15" s="151"/>
      <c r="I15" s="156" t="s">
        <v>162</v>
      </c>
      <c r="J15" s="4" t="s">
        <v>216</v>
      </c>
      <c r="K15" s="162"/>
      <c r="L15" s="157"/>
      <c r="N15" s="183"/>
      <c r="O15" s="184"/>
      <c r="P15" s="185"/>
      <c r="Q15" s="185"/>
    </row>
    <row r="16" spans="4:17" ht="17.25" thickBot="1" x14ac:dyDescent="0.35">
      <c r="D16" s="3" t="s">
        <v>55</v>
      </c>
      <c r="E16" s="119" t="s">
        <v>114</v>
      </c>
      <c r="F16" s="4" t="s">
        <v>295</v>
      </c>
      <c r="G16" s="151"/>
      <c r="I16" s="154" t="s">
        <v>103</v>
      </c>
      <c r="J16" s="4" t="s">
        <v>217</v>
      </c>
      <c r="K16" s="162"/>
      <c r="L16" s="157"/>
      <c r="N16" t="s">
        <v>334</v>
      </c>
    </row>
    <row r="17" spans="4:17" x14ac:dyDescent="0.3">
      <c r="D17" s="3" t="s">
        <v>55</v>
      </c>
      <c r="E17" s="119" t="s">
        <v>118</v>
      </c>
      <c r="F17" s="4" t="s">
        <v>296</v>
      </c>
      <c r="G17" s="151"/>
      <c r="I17" s="156" t="s">
        <v>69</v>
      </c>
      <c r="J17" s="4" t="s">
        <v>219</v>
      </c>
      <c r="K17" s="162"/>
      <c r="L17" s="157"/>
      <c r="N17" s="164" t="s">
        <v>329</v>
      </c>
      <c r="O17" s="165" t="s">
        <v>193</v>
      </c>
      <c r="P17" s="165" t="s">
        <v>323</v>
      </c>
      <c r="Q17" s="166" t="s">
        <v>324</v>
      </c>
    </row>
    <row r="18" spans="4:17" x14ac:dyDescent="0.3">
      <c r="D18" s="3" t="s">
        <v>55</v>
      </c>
      <c r="E18" s="119" t="s">
        <v>119</v>
      </c>
      <c r="F18" s="4" t="s">
        <v>297</v>
      </c>
      <c r="G18" s="151"/>
      <c r="I18" s="154" t="s">
        <v>68</v>
      </c>
      <c r="J18" s="4" t="s">
        <v>221</v>
      </c>
      <c r="K18" s="162"/>
      <c r="L18" s="157"/>
      <c r="N18" s="167" t="s">
        <v>127</v>
      </c>
      <c r="O18" s="4" t="s">
        <v>247</v>
      </c>
      <c r="P18" s="151"/>
      <c r="Q18" s="168"/>
    </row>
    <row r="19" spans="4:17" ht="17.25" thickBot="1" x14ac:dyDescent="0.35">
      <c r="D19" s="3" t="s">
        <v>55</v>
      </c>
      <c r="E19" s="119" t="s">
        <v>115</v>
      </c>
      <c r="F19" s="4" t="s">
        <v>298</v>
      </c>
      <c r="G19" s="151"/>
      <c r="I19" s="158" t="s">
        <v>163</v>
      </c>
      <c r="J19" s="57" t="s">
        <v>222</v>
      </c>
      <c r="K19" s="163"/>
      <c r="L19" s="159"/>
      <c r="N19" s="167" t="s">
        <v>128</v>
      </c>
      <c r="O19" s="4" t="s">
        <v>249</v>
      </c>
      <c r="P19" s="151"/>
      <c r="Q19" s="168"/>
    </row>
    <row r="20" spans="4:17" x14ac:dyDescent="0.3">
      <c r="D20" s="3" t="s">
        <v>55</v>
      </c>
      <c r="E20" s="119" t="s">
        <v>97</v>
      </c>
      <c r="F20" s="4" t="s">
        <v>299</v>
      </c>
      <c r="G20" s="151"/>
      <c r="N20" s="167" t="s">
        <v>129</v>
      </c>
      <c r="O20" s="4" t="s">
        <v>251</v>
      </c>
      <c r="P20" s="151"/>
      <c r="Q20" s="168"/>
    </row>
    <row r="21" spans="4:17" x14ac:dyDescent="0.3">
      <c r="D21" s="3" t="s">
        <v>55</v>
      </c>
      <c r="E21" s="119" t="s">
        <v>98</v>
      </c>
      <c r="F21" s="4" t="s">
        <v>300</v>
      </c>
      <c r="G21" s="151"/>
      <c r="N21" s="167" t="s">
        <v>130</v>
      </c>
      <c r="O21" s="4" t="s">
        <v>272</v>
      </c>
      <c r="P21" s="151"/>
      <c r="Q21" s="168"/>
    </row>
    <row r="22" spans="4:17" x14ac:dyDescent="0.3">
      <c r="D22" s="3" t="s">
        <v>55</v>
      </c>
      <c r="E22" s="119" t="s">
        <v>116</v>
      </c>
      <c r="F22" s="4" t="s">
        <v>301</v>
      </c>
      <c r="G22" s="151"/>
      <c r="N22" s="167" t="s">
        <v>131</v>
      </c>
      <c r="O22" s="4" t="s">
        <v>252</v>
      </c>
      <c r="P22" s="151"/>
      <c r="Q22" s="168"/>
    </row>
    <row r="23" spans="4:17" x14ac:dyDescent="0.3">
      <c r="D23" s="3" t="s">
        <v>55</v>
      </c>
      <c r="E23" s="119" t="s">
        <v>117</v>
      </c>
      <c r="F23" s="4" t="s">
        <v>302</v>
      </c>
      <c r="G23" s="151"/>
      <c r="N23" s="167" t="s">
        <v>132</v>
      </c>
      <c r="O23" s="4" t="s">
        <v>254</v>
      </c>
      <c r="P23" s="151"/>
      <c r="Q23" s="168"/>
    </row>
    <row r="24" spans="4:17" x14ac:dyDescent="0.3">
      <c r="D24" s="3" t="s">
        <v>55</v>
      </c>
      <c r="E24" s="119" t="s">
        <v>153</v>
      </c>
      <c r="F24" s="4" t="s">
        <v>303</v>
      </c>
      <c r="G24" s="151"/>
      <c r="N24" s="167" t="s">
        <v>133</v>
      </c>
      <c r="O24" s="4" t="s">
        <v>268</v>
      </c>
      <c r="P24" s="151"/>
      <c r="Q24" s="168"/>
    </row>
    <row r="25" spans="4:17" x14ac:dyDescent="0.3">
      <c r="M25" s="179"/>
      <c r="N25" s="167" t="s">
        <v>134</v>
      </c>
      <c r="O25" s="4" t="s">
        <v>269</v>
      </c>
      <c r="P25" s="151"/>
      <c r="Q25" s="168"/>
    </row>
    <row r="26" spans="4:17" ht="17.25" thickBot="1" x14ac:dyDescent="0.35">
      <c r="I26" t="s">
        <v>332</v>
      </c>
      <c r="N26" s="167" t="s">
        <v>135</v>
      </c>
      <c r="O26" s="4" t="s">
        <v>262</v>
      </c>
      <c r="P26" s="151"/>
      <c r="Q26" s="168"/>
    </row>
    <row r="27" spans="4:17" x14ac:dyDescent="0.3">
      <c r="D27" s="44" t="s">
        <v>54</v>
      </c>
      <c r="E27" s="124" t="s">
        <v>56</v>
      </c>
      <c r="F27" s="45" t="s">
        <v>304</v>
      </c>
      <c r="G27" s="152"/>
      <c r="I27" s="164" t="s">
        <v>322</v>
      </c>
      <c r="J27" s="165" t="s">
        <v>193</v>
      </c>
      <c r="K27" s="165" t="s">
        <v>323</v>
      </c>
      <c r="L27" s="166" t="s">
        <v>324</v>
      </c>
      <c r="N27" s="167" t="s">
        <v>136</v>
      </c>
      <c r="O27" s="4" t="s">
        <v>264</v>
      </c>
      <c r="P27" s="151"/>
      <c r="Q27" s="168"/>
    </row>
    <row r="28" spans="4:17" x14ac:dyDescent="0.3">
      <c r="D28" s="3" t="s">
        <v>54</v>
      </c>
      <c r="E28" s="122" t="s">
        <v>57</v>
      </c>
      <c r="F28" s="4" t="s">
        <v>305</v>
      </c>
      <c r="G28" s="151"/>
      <c r="I28" s="169" t="s">
        <v>43</v>
      </c>
      <c r="J28" s="4" t="s">
        <v>317</v>
      </c>
      <c r="K28" s="4"/>
      <c r="L28" s="168"/>
      <c r="N28" s="167" t="s">
        <v>137</v>
      </c>
      <c r="O28" s="4" t="s">
        <v>256</v>
      </c>
      <c r="P28" s="151"/>
      <c r="Q28" s="168"/>
    </row>
    <row r="29" spans="4:17" x14ac:dyDescent="0.3">
      <c r="D29" s="3" t="s">
        <v>54</v>
      </c>
      <c r="E29" s="122" t="s">
        <v>58</v>
      </c>
      <c r="F29" s="4" t="s">
        <v>306</v>
      </c>
      <c r="G29" s="151"/>
      <c r="I29" s="167" t="s">
        <v>144</v>
      </c>
      <c r="J29" s="4" t="s">
        <v>241</v>
      </c>
      <c r="K29" s="4"/>
      <c r="L29" s="168"/>
      <c r="N29" s="167" t="s">
        <v>138</v>
      </c>
      <c r="O29" s="4" t="s">
        <v>266</v>
      </c>
      <c r="P29" s="151"/>
      <c r="Q29" s="168"/>
    </row>
    <row r="30" spans="4:17" x14ac:dyDescent="0.3">
      <c r="D30" s="3" t="s">
        <v>54</v>
      </c>
      <c r="E30" s="122" t="s">
        <v>59</v>
      </c>
      <c r="F30" s="4" t="s">
        <v>307</v>
      </c>
      <c r="G30" s="151"/>
      <c r="I30" s="167" t="s">
        <v>171</v>
      </c>
      <c r="J30" s="4" t="s">
        <v>242</v>
      </c>
      <c r="K30" s="4"/>
      <c r="L30" s="168"/>
      <c r="N30" s="167" t="s">
        <v>139</v>
      </c>
      <c r="O30" s="4" t="s">
        <v>258</v>
      </c>
      <c r="P30" s="151"/>
      <c r="Q30" s="168"/>
    </row>
    <row r="31" spans="4:17" ht="17.25" thickBot="1" x14ac:dyDescent="0.35">
      <c r="D31" s="3" t="s">
        <v>54</v>
      </c>
      <c r="E31" s="122" t="s">
        <v>84</v>
      </c>
      <c r="F31" s="4" t="s">
        <v>308</v>
      </c>
      <c r="G31" s="151"/>
      <c r="I31" s="169" t="s">
        <v>173</v>
      </c>
      <c r="J31" s="4" t="s">
        <v>243</v>
      </c>
      <c r="K31" s="4"/>
      <c r="L31" s="168"/>
      <c r="N31" s="172" t="s">
        <v>140</v>
      </c>
      <c r="O31" s="57" t="s">
        <v>260</v>
      </c>
      <c r="P31" s="153"/>
      <c r="Q31" s="171"/>
    </row>
    <row r="32" spans="4:17" ht="17.25" thickBot="1" x14ac:dyDescent="0.35">
      <c r="D32" s="3" t="s">
        <v>54</v>
      </c>
      <c r="E32" s="122" t="s">
        <v>85</v>
      </c>
      <c r="F32" s="4" t="s">
        <v>309</v>
      </c>
      <c r="G32" s="151"/>
      <c r="I32" s="158" t="s">
        <v>83</v>
      </c>
      <c r="J32" s="57" t="s">
        <v>244</v>
      </c>
      <c r="K32" s="57"/>
      <c r="L32" s="171"/>
      <c r="N32" s="180"/>
      <c r="O32" s="181"/>
      <c r="P32" s="182"/>
      <c r="Q32" s="182"/>
    </row>
    <row r="33" spans="4:17" ht="17.25" thickBot="1" x14ac:dyDescent="0.35">
      <c r="D33" s="3" t="s">
        <v>54</v>
      </c>
      <c r="E33" s="125" t="s">
        <v>191</v>
      </c>
      <c r="F33" s="4" t="s">
        <v>310</v>
      </c>
      <c r="G33" s="151"/>
      <c r="N33" s="180" t="s">
        <v>334</v>
      </c>
      <c r="O33" s="182"/>
      <c r="P33" s="182"/>
      <c r="Q33" s="182"/>
    </row>
    <row r="34" spans="4:17" x14ac:dyDescent="0.3">
      <c r="D34" s="3" t="s">
        <v>54</v>
      </c>
      <c r="E34" s="122" t="s">
        <v>60</v>
      </c>
      <c r="F34" s="4" t="s">
        <v>311</v>
      </c>
      <c r="G34" s="151"/>
      <c r="N34" s="164" t="s">
        <v>329</v>
      </c>
      <c r="O34" s="165" t="s">
        <v>193</v>
      </c>
      <c r="P34" s="165" t="s">
        <v>323</v>
      </c>
      <c r="Q34" s="166" t="s">
        <v>324</v>
      </c>
    </row>
    <row r="35" spans="4:17" x14ac:dyDescent="0.3">
      <c r="D35" s="3" t="s">
        <v>54</v>
      </c>
      <c r="E35" s="122" t="s">
        <v>86</v>
      </c>
      <c r="F35" s="4" t="s">
        <v>312</v>
      </c>
      <c r="G35" s="151"/>
      <c r="N35" s="167" t="s">
        <v>50</v>
      </c>
      <c r="O35" s="4" t="s">
        <v>274</v>
      </c>
      <c r="P35" s="151"/>
      <c r="Q35" s="168"/>
    </row>
    <row r="36" spans="4:17" x14ac:dyDescent="0.3">
      <c r="D36" s="3" t="s">
        <v>54</v>
      </c>
      <c r="E36" s="122" t="s">
        <v>61</v>
      </c>
      <c r="F36" s="4" t="s">
        <v>313</v>
      </c>
      <c r="G36" s="151"/>
      <c r="N36" s="167" t="s">
        <v>141</v>
      </c>
      <c r="O36" s="4" t="s">
        <v>278</v>
      </c>
      <c r="P36" s="151"/>
      <c r="Q36" s="168"/>
    </row>
    <row r="37" spans="4:17" x14ac:dyDescent="0.3">
      <c r="D37" s="3" t="s">
        <v>54</v>
      </c>
      <c r="E37" s="122" t="s">
        <v>88</v>
      </c>
      <c r="F37" s="4" t="s">
        <v>314</v>
      </c>
      <c r="G37" s="151"/>
      <c r="N37" s="167" t="s">
        <v>141</v>
      </c>
      <c r="O37" s="4" t="s">
        <v>277</v>
      </c>
      <c r="P37" s="151"/>
      <c r="Q37" s="168"/>
    </row>
    <row r="38" spans="4:17" x14ac:dyDescent="0.3">
      <c r="D38" s="3" t="s">
        <v>54</v>
      </c>
      <c r="E38" s="122" t="s">
        <v>62</v>
      </c>
      <c r="F38" s="4" t="s">
        <v>315</v>
      </c>
      <c r="G38" s="151"/>
      <c r="N38" s="167" t="s">
        <v>142</v>
      </c>
      <c r="O38" s="4" t="s">
        <v>280</v>
      </c>
      <c r="P38" s="151"/>
      <c r="Q38" s="168"/>
    </row>
    <row r="39" spans="4:17" x14ac:dyDescent="0.3">
      <c r="D39" s="3"/>
      <c r="E39" s="186" t="s">
        <v>100</v>
      </c>
      <c r="F39" s="4"/>
      <c r="G39" s="151"/>
      <c r="N39" s="167" t="s">
        <v>143</v>
      </c>
      <c r="O39" s="4" t="s">
        <v>282</v>
      </c>
      <c r="P39" s="151"/>
      <c r="Q39" s="168"/>
    </row>
    <row r="40" spans="4:17" ht="17.25" thickBot="1" x14ac:dyDescent="0.35">
      <c r="D40" s="3"/>
      <c r="E40" s="187"/>
      <c r="F40" s="4"/>
      <c r="G40" s="151"/>
      <c r="N40" s="172" t="s">
        <v>52</v>
      </c>
      <c r="O40" s="57" t="s">
        <v>284</v>
      </c>
      <c r="P40" s="153"/>
      <c r="Q40" s="171"/>
    </row>
    <row r="41" spans="4:17" ht="17.25" thickBot="1" x14ac:dyDescent="0.35">
      <c r="D41" s="55"/>
      <c r="E41" s="188"/>
      <c r="F41" s="57"/>
      <c r="G41" s="153"/>
    </row>
  </sheetData>
  <mergeCells count="1">
    <mergeCell ref="E39:E41"/>
  </mergeCells>
  <phoneticPr fontId="1" type="noConversion"/>
  <conditionalFormatting sqref="E6:E12 E34:E39">
    <cfRule type="expression" dxfId="60" priority="126">
      <formula>#REF!="AIR"</formula>
    </cfRule>
    <cfRule type="expression" dxfId="59" priority="125">
      <formula>#REF!="DIWATER"</formula>
    </cfRule>
    <cfRule type="expression" dxfId="58" priority="124">
      <formula>#REF!="COGEN"</formula>
    </cfRule>
    <cfRule type="expression" dxfId="57" priority="123">
      <formula>#REF!="CITYGAS"</formula>
    </cfRule>
    <cfRule type="expression" dxfId="56" priority="122">
      <formula>#REF!="ETC"</formula>
    </cfRule>
  </conditionalFormatting>
  <conditionalFormatting sqref="E14:E23">
    <cfRule type="expression" dxfId="55" priority="121">
      <formula>$C31="AIR"</formula>
    </cfRule>
    <cfRule type="expression" dxfId="54" priority="120">
      <formula>$C31="DIWATER"</formula>
    </cfRule>
    <cfRule type="expression" dxfId="53" priority="119">
      <formula>$C31="WATER"</formula>
    </cfRule>
    <cfRule type="expression" dxfId="52" priority="118">
      <formula>$C31="CITYGAS"</formula>
    </cfRule>
    <cfRule type="expression" dxfId="51" priority="117">
      <formula>$C31="ETC"</formula>
    </cfRule>
  </conditionalFormatting>
  <conditionalFormatting sqref="E24">
    <cfRule type="expression" dxfId="50" priority="374">
      <formula>#REF!="WATER"</formula>
    </cfRule>
    <cfRule type="expression" dxfId="49" priority="373">
      <formula>#REF!="CITYGAS"</formula>
    </cfRule>
    <cfRule type="expression" dxfId="48" priority="372">
      <formula>#REF!="ETC"</formula>
    </cfRule>
    <cfRule type="expression" dxfId="47" priority="375">
      <formula>#REF!="DIWATER"</formula>
    </cfRule>
    <cfRule type="expression" dxfId="46" priority="376">
      <formula>#REF!="AIR"</formula>
    </cfRule>
  </conditionalFormatting>
  <conditionalFormatting sqref="I28">
    <cfRule type="expression" dxfId="45" priority="48">
      <formula>#REF!="CITYGAS"</formula>
    </cfRule>
    <cfRule type="expression" dxfId="44" priority="47">
      <formula>#REF!="ETC"</formula>
    </cfRule>
    <cfRule type="expression" dxfId="43" priority="49">
      <formula>#REF!="COGEN"</formula>
    </cfRule>
    <cfRule type="expression" dxfId="42" priority="50">
      <formula>#REF!="DIWATER"</formula>
    </cfRule>
    <cfRule type="expression" dxfId="41" priority="51">
      <formula>#REF!="AIR"</formula>
    </cfRule>
  </conditionalFormatting>
  <conditionalFormatting sqref="I29:I30">
    <cfRule type="expression" dxfId="40" priority="52">
      <formula>$C23="ETC"</formula>
    </cfRule>
    <cfRule type="expression" dxfId="39" priority="53">
      <formula>$C23="CITYGAS"</formula>
    </cfRule>
    <cfRule type="expression" dxfId="38" priority="54">
      <formula>$C23="WATER"</formula>
    </cfRule>
    <cfRule type="expression" dxfId="37" priority="55">
      <formula>$C23="DIWATER"</formula>
    </cfRule>
    <cfRule type="expression" dxfId="36" priority="56">
      <formula>$C23="AIR"</formula>
    </cfRule>
  </conditionalFormatting>
  <conditionalFormatting sqref="I31">
    <cfRule type="expression" dxfId="35" priority="57">
      <formula>#REF!="ETC"</formula>
    </cfRule>
    <cfRule type="expression" dxfId="34" priority="58">
      <formula>#REF!="CITYGAS"</formula>
    </cfRule>
    <cfRule type="expression" dxfId="33" priority="59">
      <formula>#REF!="COGEN"</formula>
    </cfRule>
    <cfRule type="expression" dxfId="32" priority="60">
      <formula>#REF!="DIWATER"</formula>
    </cfRule>
    <cfRule type="expression" dxfId="31" priority="61">
      <formula>#REF!="AIR"</formula>
    </cfRule>
  </conditionalFormatting>
  <conditionalFormatting sqref="N6:N12">
    <cfRule type="expression" dxfId="30" priority="84">
      <formula>#REF!="COGEN"</formula>
    </cfRule>
    <cfRule type="expression" dxfId="29" priority="85">
      <formula>#REF!="DIWATER"</formula>
    </cfRule>
    <cfRule type="expression" dxfId="28" priority="86">
      <formula>#REF!="AIR"</formula>
    </cfRule>
    <cfRule type="expression" dxfId="27" priority="82">
      <formula>#REF!="ETC"</formula>
    </cfRule>
    <cfRule type="expression" dxfId="26" priority="83">
      <formula>#REF!="CITYGAS"</formula>
    </cfRule>
  </conditionalFormatting>
  <conditionalFormatting sqref="N13:N15">
    <cfRule type="expression" dxfId="25" priority="92">
      <formula>#REF!="ETC"</formula>
    </cfRule>
    <cfRule type="expression" dxfId="24" priority="93">
      <formula>#REF!="CITYGAS"</formula>
    </cfRule>
    <cfRule type="expression" dxfId="23" priority="94">
      <formula>#REF!="COGEN"</formula>
    </cfRule>
    <cfRule type="expression" dxfId="22" priority="95">
      <formula>#REF!="DIWATER"</formula>
    </cfRule>
    <cfRule type="expression" dxfId="21" priority="96">
      <formula>#REF!="AIR"</formula>
    </cfRule>
  </conditionalFormatting>
  <conditionalFormatting sqref="N14">
    <cfRule type="expression" dxfId="20" priority="89">
      <formula>#REF!="COGEN"</formula>
    </cfRule>
    <cfRule type="expression" dxfId="19" priority="90">
      <formula>#REF!="DIWATER"</formula>
    </cfRule>
    <cfRule type="expression" dxfId="18" priority="91">
      <formula>#REF!="AIR"</formula>
    </cfRule>
    <cfRule type="expression" dxfId="17" priority="87">
      <formula>#REF!="ETC"</formula>
    </cfRule>
    <cfRule type="expression" dxfId="16" priority="88">
      <formula>#REF!="CITYGAS"</formula>
    </cfRule>
  </conditionalFormatting>
  <conditionalFormatting sqref="N18:N19 N23 N30:N32">
    <cfRule type="expression" dxfId="15" priority="46">
      <formula>$C17="AIR"</formula>
    </cfRule>
    <cfRule type="expression" dxfId="14" priority="45">
      <formula>$C17="DIWATER"</formula>
    </cfRule>
    <cfRule type="expression" dxfId="13" priority="44">
      <formula>$C17="WATER"</formula>
    </cfRule>
  </conditionalFormatting>
  <conditionalFormatting sqref="N18:N32">
    <cfRule type="expression" dxfId="12" priority="37">
      <formula>$C17="CITYGAS"</formula>
    </cfRule>
    <cfRule type="expression" dxfId="11" priority="36">
      <formula>$C17="ETC"</formula>
    </cfRule>
  </conditionalFormatting>
  <conditionalFormatting sqref="N20:N22 N24:N29">
    <cfRule type="expression" dxfId="10" priority="43">
      <formula>$C19="AIR"</formula>
    </cfRule>
    <cfRule type="expression" dxfId="9" priority="42">
      <formula>$C19="DIWATER"</formula>
    </cfRule>
    <cfRule type="expression" dxfId="8" priority="41">
      <formula>$C19="COGEN"</formula>
    </cfRule>
  </conditionalFormatting>
  <conditionalFormatting sqref="N33 N35:O40">
    <cfRule type="expression" dxfId="7" priority="1">
      <formula>$C31="ETC"</formula>
    </cfRule>
    <cfRule type="expression" dxfId="6" priority="2">
      <formula>$C31="CITYGAS"</formula>
    </cfRule>
  </conditionalFormatting>
  <conditionalFormatting sqref="N33">
    <cfRule type="expression" dxfId="5" priority="384">
      <formula>$C31="COGEN"</formula>
    </cfRule>
    <cfRule type="expression" dxfId="4" priority="385">
      <formula>$C31="DIWATER"</formula>
    </cfRule>
    <cfRule type="expression" dxfId="3" priority="386">
      <formula>$C31="AIR"</formula>
    </cfRule>
  </conditionalFormatting>
  <conditionalFormatting sqref="N35:O40">
    <cfRule type="expression" dxfId="2" priority="5">
      <formula>$C33="AIR"</formula>
    </cfRule>
    <cfRule type="expression" dxfId="1" priority="4">
      <formula>$C33="DIWATER"</formula>
    </cfRule>
    <cfRule type="expression" dxfId="0" priority="3">
      <formula>$C33="WATER"</formula>
    </cfRule>
  </conditionalFormatting>
  <pageMargins left="0.70866141732283472" right="0.70866141732283472" top="0.74803149606299213" bottom="0.74803149606299213" header="0.31496062992125984" footer="0.31496062992125984"/>
  <pageSetup paperSize="9" scale="48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10k SYS IO_List_2026</vt:lpstr>
      <vt:lpstr>10k SYS IO_NetName</vt:lpstr>
      <vt:lpstr>프로그렘 초안</vt:lpstr>
      <vt:lpstr>'10k SYS IO_List_2026'!Print_Area</vt:lpstr>
      <vt:lpstr>'10k SYS IO_NetName'!Print_Area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정성문</dc:creator>
  <cp:lastModifiedBy>기철 서</cp:lastModifiedBy>
  <cp:lastPrinted>2026-08-10T08:25:27Z</cp:lastPrinted>
  <dcterms:created xsi:type="dcterms:W3CDTF">2022-06-13T13:28:39Z</dcterms:created>
  <dcterms:modified xsi:type="dcterms:W3CDTF">2026-08-25T07:14:11Z</dcterms:modified>
</cp:coreProperties>
</file>
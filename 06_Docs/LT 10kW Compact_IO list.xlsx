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Work\H2_Control_Board\05_Docs\"/>
    </mc:Choice>
  </mc:AlternateContent>
  <xr:revisionPtr revIDLastSave="0" documentId="13_ncr:1_{214D420B-F8D4-4F26-9E97-0CA67CF95CDC}" xr6:coauthVersionLast="47" xr6:coauthVersionMax="47" xr10:uidLastSave="{00000000-0000-0000-0000-000000000000}"/>
  <bookViews>
    <workbookView xWindow="-38520" yWindow="-120" windowWidth="38640" windowHeight="21120" tabRatio="553" xr2:uid="{00000000-000D-0000-FFFF-FFFF00000000}"/>
  </bookViews>
  <sheets>
    <sheet name="10k SYS IO_List 260224" sheetId="5" r:id="rId1"/>
    <sheet name="Alpha" sheetId="6" r:id="rId2"/>
    <sheet name="부품자료" sheetId="7" r:id="rId3"/>
  </sheets>
  <definedNames>
    <definedName name="_xlnm._FilterDatabase" localSheetId="0" hidden="1">'10k SYS IO_List 260224'!$A$1:$U$135</definedName>
    <definedName name="_xlnm._FilterDatabase" localSheetId="1" hidden="1">Alpha!$A$1:$T$135</definedName>
    <definedName name="_xlnm.Print_Area" localSheetId="0">'10k SYS IO_List 260224'!$A$1:$U$135</definedName>
    <definedName name="_xlnm.Print_Area" localSheetId="1">Alpha!$A$1:$T$135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5" i="6" l="1"/>
  <c r="H135" i="6"/>
  <c r="A135" i="6" s="1"/>
  <c r="H134" i="6"/>
  <c r="A134" i="6" s="1"/>
  <c r="H133" i="6"/>
  <c r="A133" i="6" s="1"/>
  <c r="H132" i="6"/>
  <c r="A132" i="6" s="1"/>
  <c r="H131" i="6"/>
  <c r="A131" i="6" s="1"/>
  <c r="H130" i="6"/>
  <c r="A130" i="6" s="1"/>
  <c r="H129" i="6"/>
  <c r="A129" i="6" s="1"/>
  <c r="H128" i="6"/>
  <c r="A128" i="6" s="1"/>
  <c r="H127" i="6"/>
  <c r="A127" i="6" s="1"/>
  <c r="H126" i="6"/>
  <c r="A126" i="6" s="1"/>
  <c r="H125" i="6"/>
  <c r="A125" i="6" s="1"/>
  <c r="H124" i="6"/>
  <c r="A124" i="6" s="1"/>
  <c r="H123" i="6"/>
  <c r="A123" i="6" s="1"/>
  <c r="H122" i="6"/>
  <c r="A122" i="6" s="1"/>
  <c r="H121" i="6"/>
  <c r="A121" i="6" s="1"/>
  <c r="H120" i="6"/>
  <c r="A120" i="6" s="1"/>
  <c r="H119" i="6"/>
  <c r="A119" i="6" s="1"/>
  <c r="H118" i="6"/>
  <c r="A118" i="6" s="1"/>
  <c r="H117" i="6"/>
  <c r="A117" i="6" s="1"/>
  <c r="H116" i="6"/>
  <c r="A116" i="6" s="1"/>
  <c r="H115" i="6"/>
  <c r="A115" i="6"/>
  <c r="H114" i="6"/>
  <c r="A114" i="6" s="1"/>
  <c r="H113" i="6"/>
  <c r="A113" i="6" s="1"/>
  <c r="H112" i="6"/>
  <c r="A112" i="6" s="1"/>
  <c r="H111" i="6"/>
  <c r="A111" i="6"/>
  <c r="H110" i="6"/>
  <c r="A110" i="6" s="1"/>
  <c r="H109" i="6"/>
  <c r="A109" i="6"/>
  <c r="H108" i="6"/>
  <c r="A108" i="6"/>
  <c r="H107" i="6"/>
  <c r="A107" i="6"/>
  <c r="H106" i="6"/>
  <c r="A106" i="6" s="1"/>
  <c r="H105" i="6"/>
  <c r="A105" i="6"/>
  <c r="H104" i="6"/>
  <c r="A104" i="6"/>
  <c r="H103" i="6"/>
  <c r="A103" i="6" s="1"/>
  <c r="H102" i="6"/>
  <c r="A102" i="6" s="1"/>
  <c r="H101" i="6"/>
  <c r="A101" i="6"/>
  <c r="H100" i="6"/>
  <c r="A100" i="6"/>
  <c r="H99" i="6"/>
  <c r="A99" i="6" s="1"/>
  <c r="H98" i="6"/>
  <c r="A98" i="6" s="1"/>
  <c r="H97" i="6"/>
  <c r="A97" i="6"/>
  <c r="H96" i="6"/>
  <c r="A96" i="6"/>
  <c r="H95" i="6"/>
  <c r="A95" i="6"/>
  <c r="H94" i="6"/>
  <c r="A94" i="6" s="1"/>
  <c r="H93" i="6"/>
  <c r="A93" i="6" s="1"/>
  <c r="H92" i="6"/>
  <c r="A92" i="6"/>
  <c r="H91" i="6"/>
  <c r="A91" i="6"/>
  <c r="H90" i="6"/>
  <c r="A90" i="6"/>
  <c r="H89" i="6"/>
  <c r="A89" i="6"/>
  <c r="H88" i="6"/>
  <c r="A88" i="6" s="1"/>
  <c r="H87" i="6"/>
  <c r="A87" i="6" s="1"/>
  <c r="H86" i="6"/>
  <c r="A86" i="6"/>
  <c r="H85" i="6"/>
  <c r="A85" i="6"/>
  <c r="H84" i="6"/>
  <c r="A84" i="6"/>
  <c r="H83" i="6"/>
  <c r="A83" i="6" s="1"/>
  <c r="H82" i="6"/>
  <c r="A82" i="6" s="1"/>
  <c r="H81" i="6"/>
  <c r="A81" i="6"/>
  <c r="H80" i="6"/>
  <c r="A80" i="6"/>
  <c r="H79" i="6"/>
  <c r="A79" i="6" s="1"/>
  <c r="H78" i="6"/>
  <c r="A78" i="6" s="1"/>
  <c r="H77" i="6"/>
  <c r="A77" i="6"/>
  <c r="H76" i="6"/>
  <c r="A76" i="6"/>
  <c r="H75" i="6"/>
  <c r="A75" i="6" s="1"/>
  <c r="H74" i="6"/>
  <c r="A74" i="6"/>
  <c r="H73" i="6"/>
  <c r="A73" i="6" s="1"/>
  <c r="H72" i="6"/>
  <c r="A72" i="6"/>
  <c r="H71" i="6"/>
  <c r="A71" i="6" s="1"/>
  <c r="H70" i="6"/>
  <c r="A70" i="6" s="1"/>
  <c r="H69" i="6"/>
  <c r="A69" i="6" s="1"/>
  <c r="H68" i="6"/>
  <c r="A68" i="6" s="1"/>
  <c r="H67" i="6"/>
  <c r="A67" i="6" s="1"/>
  <c r="H66" i="6"/>
  <c r="A66" i="6"/>
  <c r="H65" i="6"/>
  <c r="A65" i="6" s="1"/>
  <c r="H64" i="6"/>
  <c r="A64" i="6"/>
  <c r="H63" i="6"/>
  <c r="A63" i="6" s="1"/>
  <c r="H62" i="6"/>
  <c r="A62" i="6"/>
  <c r="H61" i="6"/>
  <c r="A61" i="6" s="1"/>
  <c r="H60" i="6"/>
  <c r="A60" i="6"/>
  <c r="H59" i="6"/>
  <c r="A59" i="6" s="1"/>
  <c r="H58" i="6"/>
  <c r="A58" i="6"/>
  <c r="H57" i="6"/>
  <c r="A57" i="6" s="1"/>
  <c r="H56" i="6"/>
  <c r="A56" i="6"/>
  <c r="H55" i="6"/>
  <c r="A55" i="6" s="1"/>
  <c r="H54" i="6"/>
  <c r="A54" i="6"/>
  <c r="H53" i="6"/>
  <c r="A53" i="6" s="1"/>
  <c r="H52" i="6"/>
  <c r="A52" i="6" s="1"/>
  <c r="H51" i="6"/>
  <c r="A51" i="6" s="1"/>
  <c r="H50" i="6"/>
  <c r="A50" i="6" s="1"/>
  <c r="H49" i="6"/>
  <c r="A49" i="6" s="1"/>
  <c r="H48" i="6"/>
  <c r="A48" i="6"/>
  <c r="H47" i="6"/>
  <c r="A47" i="6" s="1"/>
  <c r="H46" i="6"/>
  <c r="A46" i="6"/>
  <c r="H45" i="6"/>
  <c r="A45" i="6" s="1"/>
  <c r="H44" i="6"/>
  <c r="A44" i="6"/>
  <c r="H43" i="6"/>
  <c r="A43" i="6" s="1"/>
  <c r="H42" i="6"/>
  <c r="A42" i="6"/>
  <c r="H41" i="6"/>
  <c r="A41" i="6" s="1"/>
  <c r="H40" i="6"/>
  <c r="A40" i="6" s="1"/>
  <c r="H39" i="6"/>
  <c r="A39" i="6" s="1"/>
  <c r="H38" i="6"/>
  <c r="A38" i="6"/>
  <c r="H37" i="6"/>
  <c r="A37" i="6" s="1"/>
  <c r="H36" i="6"/>
  <c r="A36" i="6"/>
  <c r="H35" i="6"/>
  <c r="A35" i="6" s="1"/>
  <c r="H34" i="6"/>
  <c r="A34" i="6"/>
  <c r="H33" i="6"/>
  <c r="A33" i="6" s="1"/>
  <c r="H32" i="6"/>
  <c r="A32" i="6" s="1"/>
  <c r="H31" i="6"/>
  <c r="A31" i="6" s="1"/>
  <c r="H30" i="6"/>
  <c r="A30" i="6" s="1"/>
  <c r="H29" i="6"/>
  <c r="A29" i="6"/>
  <c r="H28" i="6"/>
  <c r="A28" i="6" s="1"/>
  <c r="H27" i="6"/>
  <c r="A27" i="6" s="1"/>
  <c r="H26" i="6"/>
  <c r="A26" i="6" s="1"/>
  <c r="H25" i="6"/>
  <c r="A25" i="6"/>
  <c r="H24" i="6"/>
  <c r="A24" i="6"/>
  <c r="H23" i="6"/>
  <c r="A23" i="6"/>
  <c r="H22" i="6"/>
  <c r="A22" i="6" s="1"/>
  <c r="H21" i="6"/>
  <c r="A21" i="6"/>
  <c r="H20" i="6"/>
  <c r="A20" i="6" s="1"/>
  <c r="H19" i="6"/>
  <c r="A19" i="6"/>
  <c r="H18" i="6"/>
  <c r="A18" i="6" s="1"/>
  <c r="H17" i="6"/>
  <c r="A17" i="6"/>
  <c r="H16" i="6"/>
  <c r="A16" i="6" s="1"/>
  <c r="H15" i="6"/>
  <c r="A15" i="6" s="1"/>
  <c r="H14" i="6"/>
  <c r="A14" i="6" s="1"/>
  <c r="H13" i="6"/>
  <c r="A13" i="6"/>
  <c r="H12" i="6"/>
  <c r="A12" i="6" s="1"/>
  <c r="H11" i="6"/>
  <c r="A11" i="6"/>
  <c r="H10" i="6"/>
  <c r="A10" i="6" s="1"/>
  <c r="H9" i="6"/>
  <c r="H8" i="6"/>
  <c r="H7" i="6"/>
  <c r="A7" i="6"/>
  <c r="H6" i="6"/>
  <c r="A6" i="6" s="1"/>
  <c r="H5" i="6"/>
  <c r="A5" i="6" s="1"/>
  <c r="H4" i="6"/>
  <c r="A4" i="6" s="1"/>
  <c r="H3" i="6"/>
  <c r="A3" i="6" s="1"/>
  <c r="H2" i="6"/>
  <c r="A2" i="6" s="1"/>
  <c r="L143" i="6"/>
  <c r="L142" i="6"/>
  <c r="L141" i="6"/>
  <c r="L140" i="6"/>
  <c r="L139" i="6"/>
  <c r="L138" i="6"/>
  <c r="L9" i="5" l="1"/>
  <c r="L8" i="5"/>
  <c r="H9" i="5"/>
  <c r="H8" i="5"/>
  <c r="L80" i="5" l="1"/>
  <c r="L81" i="5"/>
  <c r="L82" i="5"/>
  <c r="L83" i="5"/>
  <c r="L84" i="5"/>
  <c r="L85" i="5"/>
  <c r="L86" i="5"/>
  <c r="L87" i="5"/>
  <c r="L88" i="5"/>
  <c r="L89" i="5"/>
  <c r="L79" i="5"/>
  <c r="L77" i="5"/>
  <c r="L78" i="5"/>
  <c r="L76" i="5"/>
  <c r="L73" i="5"/>
  <c r="L74" i="5"/>
  <c r="L75" i="5"/>
  <c r="L72" i="5"/>
  <c r="L70" i="5"/>
  <c r="L71" i="5"/>
  <c r="L69" i="5"/>
  <c r="L66" i="5"/>
  <c r="L67" i="5"/>
  <c r="L68" i="5"/>
  <c r="L6" i="5"/>
  <c r="L7" i="5"/>
  <c r="L10" i="5"/>
  <c r="L11" i="5"/>
  <c r="L12" i="5"/>
  <c r="L13" i="5"/>
  <c r="L14" i="5"/>
  <c r="L15" i="5"/>
  <c r="L16" i="5"/>
  <c r="L17" i="5"/>
  <c r="L18" i="5"/>
  <c r="L19" i="5"/>
  <c r="L20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3" i="5"/>
  <c r="L4" i="5" l="1"/>
  <c r="L113" i="5" l="1"/>
  <c r="L126" i="5"/>
  <c r="L100" i="5" l="1"/>
  <c r="L114" i="5"/>
  <c r="L132" i="5" l="1"/>
  <c r="L133" i="5"/>
  <c r="L131" i="5"/>
  <c r="L130" i="5"/>
  <c r="L129" i="5"/>
  <c r="L123" i="5"/>
  <c r="L116" i="5"/>
  <c r="L117" i="5"/>
  <c r="L103" i="5"/>
  <c r="L102" i="5"/>
  <c r="L101" i="5"/>
  <c r="H49" i="5"/>
  <c r="A49" i="5" s="1"/>
  <c r="H48" i="5"/>
  <c r="A48" i="5" s="1"/>
  <c r="H47" i="5"/>
  <c r="A47" i="5" s="1"/>
  <c r="H46" i="5"/>
  <c r="A46" i="5" s="1"/>
  <c r="H45" i="5"/>
  <c r="A45" i="5" s="1"/>
  <c r="H44" i="5"/>
  <c r="A44" i="5" s="1"/>
  <c r="H43" i="5"/>
  <c r="A43" i="5" s="1"/>
  <c r="H42" i="5"/>
  <c r="A42" i="5" s="1"/>
  <c r="H41" i="5"/>
  <c r="A41" i="5" s="1"/>
  <c r="H40" i="5"/>
  <c r="A40" i="5" s="1"/>
  <c r="H39" i="5"/>
  <c r="A39" i="5" s="1"/>
  <c r="H38" i="5"/>
  <c r="A38" i="5" s="1"/>
  <c r="H37" i="5"/>
  <c r="A37" i="5" s="1"/>
  <c r="H36" i="5"/>
  <c r="A36" i="5" s="1"/>
  <c r="H35" i="5"/>
  <c r="A35" i="5" s="1"/>
  <c r="H34" i="5"/>
  <c r="A34" i="5" s="1"/>
  <c r="H33" i="5"/>
  <c r="A33" i="5" s="1"/>
  <c r="H32" i="5"/>
  <c r="A32" i="5" s="1"/>
  <c r="H31" i="5"/>
  <c r="A31" i="5" s="1"/>
  <c r="H30" i="5"/>
  <c r="A30" i="5" s="1"/>
  <c r="L110" i="5" l="1"/>
  <c r="L109" i="5"/>
  <c r="L108" i="5"/>
  <c r="L107" i="5"/>
  <c r="L120" i="5"/>
  <c r="L104" i="5"/>
  <c r="L105" i="5"/>
  <c r="L106" i="5"/>
  <c r="L111" i="5"/>
  <c r="L112" i="5"/>
  <c r="L118" i="5"/>
  <c r="L119" i="5"/>
  <c r="L121" i="5"/>
  <c r="L122" i="5"/>
  <c r="L124" i="5"/>
  <c r="L125" i="5"/>
  <c r="L127" i="5"/>
  <c r="L128" i="5"/>
  <c r="L134" i="5"/>
  <c r="L135" i="5"/>
  <c r="H135" i="5"/>
  <c r="A135" i="5" s="1"/>
  <c r="H134" i="5"/>
  <c r="A134" i="5" s="1"/>
  <c r="H133" i="5"/>
  <c r="A133" i="5" s="1"/>
  <c r="H132" i="5"/>
  <c r="A132" i="5" s="1"/>
  <c r="H131" i="5"/>
  <c r="A131" i="5" s="1"/>
  <c r="H130" i="5"/>
  <c r="A130" i="5" s="1"/>
  <c r="H129" i="5"/>
  <c r="A129" i="5" s="1"/>
  <c r="H128" i="5"/>
  <c r="A128" i="5" s="1"/>
  <c r="H127" i="5"/>
  <c r="A127" i="5" s="1"/>
  <c r="H126" i="5"/>
  <c r="A126" i="5" s="1"/>
  <c r="H125" i="5"/>
  <c r="A125" i="5" s="1"/>
  <c r="L97" i="5" l="1"/>
  <c r="H10" i="5" l="1"/>
  <c r="A10" i="5" s="1"/>
  <c r="H11" i="5"/>
  <c r="A11" i="5" s="1"/>
  <c r="H12" i="5"/>
  <c r="A12" i="5" s="1"/>
  <c r="H13" i="5"/>
  <c r="A13" i="5" s="1"/>
  <c r="H14" i="5"/>
  <c r="A14" i="5" s="1"/>
  <c r="H15" i="5"/>
  <c r="A15" i="5" s="1"/>
  <c r="H16" i="5"/>
  <c r="A16" i="5" s="1"/>
  <c r="H17" i="5"/>
  <c r="A17" i="5" s="1"/>
  <c r="H18" i="5"/>
  <c r="A18" i="5" s="1"/>
  <c r="H19" i="5"/>
  <c r="A19" i="5" s="1"/>
  <c r="H20" i="5"/>
  <c r="A20" i="5" s="1"/>
  <c r="H21" i="5"/>
  <c r="A21" i="5" s="1"/>
  <c r="H22" i="5"/>
  <c r="A22" i="5" s="1"/>
  <c r="H23" i="5"/>
  <c r="A23" i="5" s="1"/>
  <c r="H24" i="5"/>
  <c r="A24" i="5" s="1"/>
  <c r="H25" i="5"/>
  <c r="A25" i="5" s="1"/>
  <c r="H26" i="5"/>
  <c r="A26" i="5" s="1"/>
  <c r="H27" i="5"/>
  <c r="A27" i="5" s="1"/>
  <c r="H28" i="5"/>
  <c r="A28" i="5" s="1"/>
  <c r="H29" i="5"/>
  <c r="A29" i="5" s="1"/>
  <c r="H3" i="5" l="1"/>
  <c r="A3" i="5" s="1"/>
  <c r="H4" i="5"/>
  <c r="A4" i="5" s="1"/>
  <c r="H5" i="5"/>
  <c r="A5" i="5" s="1"/>
  <c r="H6" i="5"/>
  <c r="A6" i="5" s="1"/>
  <c r="H7" i="5"/>
  <c r="A7" i="5" s="1"/>
  <c r="L2" i="5"/>
  <c r="H124" i="5" l="1"/>
  <c r="A124" i="5" s="1"/>
  <c r="H123" i="5"/>
  <c r="A123" i="5" s="1"/>
  <c r="H122" i="5"/>
  <c r="A122" i="5" s="1"/>
  <c r="H121" i="5"/>
  <c r="A121" i="5" s="1"/>
  <c r="H120" i="5"/>
  <c r="A120" i="5" s="1"/>
  <c r="H119" i="5"/>
  <c r="A119" i="5" s="1"/>
  <c r="H118" i="5"/>
  <c r="A118" i="5" s="1"/>
  <c r="H117" i="5"/>
  <c r="A117" i="5" s="1"/>
  <c r="H116" i="5"/>
  <c r="A116" i="5" s="1"/>
  <c r="H115" i="5"/>
  <c r="A115" i="5" s="1"/>
  <c r="H114" i="5"/>
  <c r="A114" i="5" s="1"/>
  <c r="H113" i="5"/>
  <c r="A113" i="5" s="1"/>
  <c r="H112" i="5"/>
  <c r="A112" i="5" s="1"/>
  <c r="H111" i="5"/>
  <c r="A111" i="5" s="1"/>
  <c r="H110" i="5"/>
  <c r="A110" i="5" s="1"/>
  <c r="H109" i="5"/>
  <c r="A109" i="5" s="1"/>
  <c r="H108" i="5"/>
  <c r="A108" i="5" s="1"/>
  <c r="H107" i="5"/>
  <c r="A107" i="5" s="1"/>
  <c r="H106" i="5"/>
  <c r="A106" i="5" s="1"/>
  <c r="H105" i="5"/>
  <c r="A105" i="5" s="1"/>
  <c r="H104" i="5"/>
  <c r="A104" i="5" s="1"/>
  <c r="H103" i="5"/>
  <c r="A103" i="5" s="1"/>
  <c r="H102" i="5"/>
  <c r="A102" i="5" s="1"/>
  <c r="H101" i="5"/>
  <c r="A101" i="5" s="1"/>
  <c r="H100" i="5"/>
  <c r="A100" i="5" s="1"/>
  <c r="H99" i="5"/>
  <c r="A99" i="5" s="1"/>
  <c r="H98" i="5"/>
  <c r="A98" i="5" s="1"/>
  <c r="H97" i="5"/>
  <c r="A97" i="5" s="1"/>
  <c r="H96" i="5"/>
  <c r="A96" i="5" s="1"/>
  <c r="H95" i="5"/>
  <c r="A95" i="5" s="1"/>
  <c r="H94" i="5"/>
  <c r="A94" i="5" s="1"/>
  <c r="H93" i="5"/>
  <c r="A93" i="5" s="1"/>
  <c r="H92" i="5"/>
  <c r="A92" i="5" s="1"/>
  <c r="H91" i="5"/>
  <c r="A91" i="5" s="1"/>
  <c r="H90" i="5"/>
  <c r="A90" i="5" s="1"/>
  <c r="H89" i="5"/>
  <c r="A89" i="5" s="1"/>
  <c r="H88" i="5"/>
  <c r="A88" i="5" s="1"/>
  <c r="H87" i="5"/>
  <c r="A87" i="5" s="1"/>
  <c r="H86" i="5"/>
  <c r="A86" i="5" s="1"/>
  <c r="H85" i="5"/>
  <c r="A85" i="5" s="1"/>
  <c r="H84" i="5"/>
  <c r="A84" i="5" s="1"/>
  <c r="H83" i="5"/>
  <c r="A83" i="5" s="1"/>
  <c r="H82" i="5"/>
  <c r="A82" i="5" s="1"/>
  <c r="H81" i="5"/>
  <c r="A81" i="5" s="1"/>
  <c r="H80" i="5"/>
  <c r="A80" i="5" s="1"/>
  <c r="H79" i="5"/>
  <c r="A79" i="5" s="1"/>
  <c r="H78" i="5"/>
  <c r="A78" i="5" s="1"/>
  <c r="H77" i="5"/>
  <c r="A77" i="5" s="1"/>
  <c r="H76" i="5"/>
  <c r="A76" i="5" s="1"/>
  <c r="H75" i="5"/>
  <c r="A75" i="5" s="1"/>
  <c r="H74" i="5"/>
  <c r="A74" i="5" s="1"/>
  <c r="H73" i="5"/>
  <c r="A73" i="5" s="1"/>
  <c r="H72" i="5"/>
  <c r="A72" i="5" s="1"/>
  <c r="H71" i="5"/>
  <c r="A71" i="5" s="1"/>
  <c r="H70" i="5"/>
  <c r="A70" i="5" s="1"/>
  <c r="H69" i="5"/>
  <c r="A69" i="5" s="1"/>
  <c r="H68" i="5"/>
  <c r="A68" i="5" s="1"/>
  <c r="H67" i="5"/>
  <c r="A67" i="5" s="1"/>
  <c r="H66" i="5"/>
  <c r="A66" i="5" s="1"/>
  <c r="H65" i="5"/>
  <c r="A65" i="5" s="1"/>
  <c r="H64" i="5"/>
  <c r="A64" i="5" s="1"/>
  <c r="H63" i="5"/>
  <c r="A63" i="5" s="1"/>
  <c r="H62" i="5"/>
  <c r="A62" i="5" s="1"/>
  <c r="H61" i="5"/>
  <c r="A61" i="5" s="1"/>
  <c r="H60" i="5"/>
  <c r="A60" i="5" s="1"/>
  <c r="H59" i="5"/>
  <c r="A59" i="5" s="1"/>
  <c r="H58" i="5"/>
  <c r="A58" i="5" s="1"/>
  <c r="H57" i="5"/>
  <c r="A57" i="5" s="1"/>
  <c r="H56" i="5"/>
  <c r="A56" i="5" s="1"/>
  <c r="H55" i="5"/>
  <c r="A55" i="5" s="1"/>
  <c r="H54" i="5"/>
  <c r="A54" i="5" s="1"/>
  <c r="H53" i="5"/>
  <c r="A53" i="5" s="1"/>
  <c r="H52" i="5"/>
  <c r="A52" i="5" s="1"/>
  <c r="H51" i="5"/>
  <c r="A51" i="5" s="1"/>
  <c r="H50" i="5"/>
  <c r="A50" i="5" s="1"/>
  <c r="H2" i="5"/>
  <c r="A2" i="5" s="1"/>
  <c r="L140" i="5"/>
  <c r="L141" i="5"/>
  <c r="L139" i="5"/>
  <c r="L143" i="5"/>
  <c r="L142" i="5"/>
  <c r="L13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서기철</author>
  </authors>
  <commentList>
    <comment ref="P51" authorId="0" shapeId="0" xr:uid="{A149119B-C8A4-495C-9AF7-3A2DB972A457}">
      <text>
        <r>
          <rPr>
            <b/>
            <sz val="9"/>
            <color indexed="81"/>
            <rFont val="돋움"/>
            <family val="3"/>
            <charset val="129"/>
          </rPr>
          <t>서기철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https://www.autonics.com/kr/model/PSS-01V-R18</t>
        </r>
      </text>
    </comment>
  </commentList>
</comments>
</file>

<file path=xl/sharedStrings.xml><?xml version="1.0" encoding="utf-8"?>
<sst xmlns="http://schemas.openxmlformats.org/spreadsheetml/2006/main" count="1820" uniqueCount="278">
  <si>
    <t>Voltage</t>
    <phoneticPr fontId="1" type="noConversion"/>
  </si>
  <si>
    <t>DO</t>
    <phoneticPr fontId="1" type="noConversion"/>
  </si>
  <si>
    <t>DI</t>
    <phoneticPr fontId="1" type="noConversion"/>
  </si>
  <si>
    <t>V</t>
    <phoneticPr fontId="1" type="noConversion"/>
  </si>
  <si>
    <t>0 or 24</t>
    <phoneticPr fontId="1" type="noConversion"/>
  </si>
  <si>
    <t>AO</t>
    <phoneticPr fontId="1" type="noConversion"/>
  </si>
  <si>
    <t>A</t>
    <phoneticPr fontId="1" type="noConversion"/>
  </si>
  <si>
    <t xml:space="preserve">0~5 </t>
    <phoneticPr fontId="1" type="noConversion"/>
  </si>
  <si>
    <t>TC-T type</t>
    <phoneticPr fontId="1" type="noConversion"/>
  </si>
  <si>
    <t>제어
단위</t>
    <phoneticPr fontId="1" type="noConversion"/>
  </si>
  <si>
    <t>제어값</t>
    <phoneticPr fontId="1" type="noConversion"/>
  </si>
  <si>
    <t>실제 
단위</t>
    <phoneticPr fontId="1" type="noConversion"/>
  </si>
  <si>
    <t>실제값</t>
    <phoneticPr fontId="1" type="noConversion"/>
  </si>
  <si>
    <t>Remark</t>
    <phoneticPr fontId="1" type="noConversion"/>
  </si>
  <si>
    <t>Described</t>
    <phoneticPr fontId="1" type="noConversion"/>
  </si>
  <si>
    <t>IO type</t>
    <phoneticPr fontId="1" type="noConversion"/>
  </si>
  <si>
    <t>Slot number</t>
    <phoneticPr fontId="1" type="noConversion"/>
  </si>
  <si>
    <t>Category</t>
    <phoneticPr fontId="1" type="noConversion"/>
  </si>
  <si>
    <t>Naming</t>
    <phoneticPr fontId="1" type="noConversion"/>
  </si>
  <si>
    <t>0 or 24</t>
  </si>
  <si>
    <t>TC</t>
  </si>
  <si>
    <t>AB</t>
    <phoneticPr fontId="1" type="noConversion"/>
  </si>
  <si>
    <t>P</t>
    <phoneticPr fontId="1" type="noConversion"/>
  </si>
  <si>
    <t>CS</t>
    <phoneticPr fontId="1" type="noConversion"/>
  </si>
  <si>
    <t>PT</t>
    <phoneticPr fontId="1" type="noConversion"/>
  </si>
  <si>
    <t>MFC</t>
    <phoneticPr fontId="1" type="noConversion"/>
  </si>
  <si>
    <t>IO Number</t>
    <phoneticPr fontId="1" type="noConversion"/>
  </si>
  <si>
    <t>IO Name</t>
    <phoneticPr fontId="1" type="noConversion"/>
  </si>
  <si>
    <t>Proto device
IO Masking</t>
    <phoneticPr fontId="1" type="noConversion"/>
  </si>
  <si>
    <t>TC</t>
    <phoneticPr fontId="1" type="noConversion"/>
  </si>
  <si>
    <t>IO Category</t>
    <phoneticPr fontId="1" type="noConversion"/>
  </si>
  <si>
    <t>IO Box Category</t>
    <phoneticPr fontId="1" type="noConversion"/>
  </si>
  <si>
    <t>IO Num</t>
    <phoneticPr fontId="1" type="noConversion"/>
  </si>
  <si>
    <t>Part IO Num</t>
    <phoneticPr fontId="1" type="noConversion"/>
  </si>
  <si>
    <t>AI</t>
    <phoneticPr fontId="1" type="noConversion"/>
  </si>
  <si>
    <t>Counter</t>
    <phoneticPr fontId="1" type="noConversion"/>
  </si>
  <si>
    <t>Num</t>
    <phoneticPr fontId="1" type="noConversion"/>
  </si>
  <si>
    <t>Commu,</t>
    <phoneticPr fontId="1" type="noConversion"/>
  </si>
  <si>
    <t>INV</t>
    <phoneticPr fontId="1" type="noConversion"/>
  </si>
  <si>
    <t>02</t>
    <phoneticPr fontId="1" type="noConversion"/>
  </si>
  <si>
    <t>03</t>
  </si>
  <si>
    <t>04</t>
  </si>
  <si>
    <t>05</t>
  </si>
  <si>
    <t>06</t>
  </si>
  <si>
    <t>07</t>
  </si>
  <si>
    <t>08</t>
  </si>
  <si>
    <t>09</t>
  </si>
  <si>
    <t>00</t>
    <phoneticPr fontId="1" type="noConversion"/>
  </si>
  <si>
    <t>01</t>
    <phoneticPr fontId="1" type="noConversion"/>
  </si>
  <si>
    <t>10</t>
    <phoneticPr fontId="1" type="noConversion"/>
  </si>
  <si>
    <t>11</t>
    <phoneticPr fontId="1" type="noConversion"/>
  </si>
  <si>
    <t>12</t>
    <phoneticPr fontId="1" type="noConversion"/>
  </si>
  <si>
    <t>14</t>
    <phoneticPr fontId="1" type="noConversion"/>
  </si>
  <si>
    <t>15</t>
    <phoneticPr fontId="1" type="noConversion"/>
  </si>
  <si>
    <t>13</t>
    <phoneticPr fontId="1" type="noConversion"/>
  </si>
  <si>
    <t>Serial</t>
    <phoneticPr fontId="1" type="noConversion"/>
  </si>
  <si>
    <t>RS</t>
    <phoneticPr fontId="1" type="noConversion"/>
  </si>
  <si>
    <t>Controller</t>
    <phoneticPr fontId="1" type="noConversion"/>
  </si>
  <si>
    <t>TJ-</t>
    <phoneticPr fontId="1" type="noConversion"/>
  </si>
  <si>
    <t>A</t>
    <phoneticPr fontId="1" type="noConversion"/>
  </si>
  <si>
    <t>비고</t>
    <phoneticPr fontId="1" type="noConversion"/>
  </si>
  <si>
    <t>232 to 485</t>
    <phoneticPr fontId="1" type="noConversion"/>
  </si>
  <si>
    <t>FM</t>
    <phoneticPr fontId="1" type="noConversion"/>
  </si>
  <si>
    <t>FAN</t>
    <phoneticPr fontId="1" type="noConversion"/>
  </si>
  <si>
    <t>시티가스 공급온도 확인</t>
    <phoneticPr fontId="1" type="noConversion"/>
  </si>
  <si>
    <t>개질기 버너 역화 온도 측정</t>
    <phoneticPr fontId="1" type="noConversion"/>
  </si>
  <si>
    <t>테스트용</t>
    <phoneticPr fontId="1" type="noConversion"/>
  </si>
  <si>
    <t>kPa</t>
    <phoneticPr fontId="1" type="noConversion"/>
  </si>
  <si>
    <t>LPM</t>
    <phoneticPr fontId="1" type="noConversion"/>
  </si>
  <si>
    <t>sig</t>
    <phoneticPr fontId="1" type="noConversion"/>
  </si>
  <si>
    <t>ml/P</t>
    <phoneticPr fontId="1" type="noConversion"/>
  </si>
  <si>
    <t>FD</t>
    <phoneticPr fontId="1" type="noConversion"/>
  </si>
  <si>
    <t>GD</t>
    <phoneticPr fontId="1" type="noConversion"/>
  </si>
  <si>
    <t>버너 화염감지기</t>
    <phoneticPr fontId="1" type="noConversion"/>
  </si>
  <si>
    <t>환기팬1</t>
    <phoneticPr fontId="1" type="noConversion"/>
  </si>
  <si>
    <t>메탄누출감지</t>
    <phoneticPr fontId="1" type="noConversion"/>
  </si>
  <si>
    <t>수소누출감지</t>
    <phoneticPr fontId="1" type="noConversion"/>
  </si>
  <si>
    <t>인버터 데이터 통신</t>
    <phoneticPr fontId="1" type="noConversion"/>
  </si>
  <si>
    <t>BNG MFC 통신</t>
    <phoneticPr fontId="1" type="noConversion"/>
  </si>
  <si>
    <t>PNG MFC 통신</t>
    <phoneticPr fontId="1" type="noConversion"/>
  </si>
  <si>
    <t>DI 개질수 데이터 통신</t>
    <phoneticPr fontId="1" type="noConversion"/>
  </si>
  <si>
    <t>TC-K type</t>
    <phoneticPr fontId="1" type="noConversion"/>
  </si>
  <si>
    <t>Current</t>
    <phoneticPr fontId="1" type="noConversion"/>
  </si>
  <si>
    <t>SV</t>
    <phoneticPr fontId="1" type="noConversion"/>
  </si>
  <si>
    <t>HT</t>
    <phoneticPr fontId="1" type="noConversion"/>
  </si>
  <si>
    <t>P com1</t>
    <phoneticPr fontId="1" type="noConversion"/>
  </si>
  <si>
    <t>P com2</t>
    <phoneticPr fontId="1" type="noConversion"/>
  </si>
  <si>
    <t>P com3</t>
    <phoneticPr fontId="1" type="noConversion"/>
  </si>
  <si>
    <t>P com4</t>
    <phoneticPr fontId="1" type="noConversion"/>
  </si>
  <si>
    <t>P com5</t>
    <phoneticPr fontId="1" type="noConversion"/>
  </si>
  <si>
    <t>P com6</t>
    <phoneticPr fontId="1" type="noConversion"/>
  </si>
  <si>
    <t>P com7</t>
    <phoneticPr fontId="1" type="noConversion"/>
  </si>
  <si>
    <t>P com8</t>
    <phoneticPr fontId="1" type="noConversion"/>
  </si>
  <si>
    <t>N com1</t>
    <phoneticPr fontId="1" type="noConversion"/>
  </si>
  <si>
    <t>N com2</t>
    <phoneticPr fontId="1" type="noConversion"/>
  </si>
  <si>
    <t>N com3</t>
    <phoneticPr fontId="1" type="noConversion"/>
  </si>
  <si>
    <t>N com4</t>
    <phoneticPr fontId="1" type="noConversion"/>
  </si>
  <si>
    <t>N com5</t>
    <phoneticPr fontId="1" type="noConversion"/>
  </si>
  <si>
    <t>N com6</t>
    <phoneticPr fontId="1" type="noConversion"/>
  </si>
  <si>
    <t>N com7</t>
    <phoneticPr fontId="1" type="noConversion"/>
  </si>
  <si>
    <t>N com8</t>
    <phoneticPr fontId="1" type="noConversion"/>
  </si>
  <si>
    <t>BV</t>
    <phoneticPr fontId="1" type="noConversion"/>
  </si>
  <si>
    <t>MC</t>
    <phoneticPr fontId="1" type="noConversion"/>
  </si>
  <si>
    <t xml:space="preserve"> SW</t>
    <phoneticPr fontId="1" type="noConversion"/>
  </si>
  <si>
    <t>MC 동작 스위치</t>
    <phoneticPr fontId="1" type="noConversion"/>
  </si>
  <si>
    <t>IGN</t>
    <phoneticPr fontId="1" type="noConversion"/>
  </si>
  <si>
    <t>점화 트랜스</t>
    <phoneticPr fontId="1" type="noConversion"/>
  </si>
  <si>
    <t>AC R com1</t>
    <phoneticPr fontId="1" type="noConversion"/>
  </si>
  <si>
    <t>AC R com2</t>
    <phoneticPr fontId="1" type="noConversion"/>
  </si>
  <si>
    <t>AC R com3</t>
    <phoneticPr fontId="1" type="noConversion"/>
  </si>
  <si>
    <t>AC R com4</t>
    <phoneticPr fontId="1" type="noConversion"/>
  </si>
  <si>
    <t>AC R com7</t>
    <phoneticPr fontId="1" type="noConversion"/>
  </si>
  <si>
    <t>AC R com8</t>
    <phoneticPr fontId="1" type="noConversion"/>
  </si>
  <si>
    <t>P com9</t>
    <phoneticPr fontId="1" type="noConversion"/>
  </si>
  <si>
    <t>P com10</t>
    <phoneticPr fontId="1" type="noConversion"/>
  </si>
  <si>
    <t>P com11</t>
    <phoneticPr fontId="1" type="noConversion"/>
  </si>
  <si>
    <t>P com15</t>
  </si>
  <si>
    <t>P com16</t>
  </si>
  <si>
    <t>AOG 버너 입구 온도측정</t>
    <phoneticPr fontId="1" type="noConversion"/>
  </si>
  <si>
    <t>K</t>
    <phoneticPr fontId="1" type="noConversion"/>
  </si>
  <si>
    <t>T</t>
    <phoneticPr fontId="1" type="noConversion"/>
  </si>
  <si>
    <t xml:space="preserve">INV </t>
    <phoneticPr fontId="1" type="noConversion"/>
  </si>
  <si>
    <t>제어기</t>
    <phoneticPr fontId="1" type="noConversion"/>
  </si>
  <si>
    <t>Ref-BN</t>
  </si>
  <si>
    <t>Ref-SR1</t>
  </si>
  <si>
    <t>Ref-SR2</t>
  </si>
  <si>
    <t>Ref-SR3</t>
  </si>
  <si>
    <t>Ref-RG</t>
  </si>
  <si>
    <t>Prox-01</t>
  </si>
  <si>
    <t>Prox-03</t>
  </si>
  <si>
    <t>개질가스 온도 측정</t>
    <phoneticPr fontId="1" type="noConversion"/>
  </si>
  <si>
    <t>개질 가스 온도 측정</t>
    <phoneticPr fontId="1" type="noConversion"/>
  </si>
  <si>
    <t>배기가스 온도 측정</t>
  </si>
  <si>
    <t>Cathode 입구 온도</t>
  </si>
  <si>
    <t>개질기 버너 압력 확인용</t>
  </si>
  <si>
    <t>개질기 촉매부 압력 확인</t>
  </si>
  <si>
    <t>개질가스 압력 측정</t>
  </si>
  <si>
    <t>배기가스 압력 측정</t>
  </si>
  <si>
    <t>PrOx 공기 유량계</t>
  </si>
  <si>
    <t>개질기 버너 공기 유량계</t>
  </si>
  <si>
    <t>DI 탱크 전도도 센서</t>
  </si>
  <si>
    <t>개질수 압력측정</t>
  </si>
  <si>
    <t>STACK 2 냉각수 입구 압력 확인</t>
  </si>
  <si>
    <t>0~100 kPa</t>
  </si>
  <si>
    <t>0~100</t>
    <phoneticPr fontId="1" type="noConversion"/>
  </si>
  <si>
    <t>us/s</t>
    <phoneticPr fontId="1" type="noConversion"/>
  </si>
  <si>
    <t>STACK 1 냉각수 공급</t>
  </si>
  <si>
    <t>STACK 2 냉각수 공급</t>
  </si>
  <si>
    <t>STACK 열교환기 냉각수 공급 펌프</t>
  </si>
  <si>
    <t>FM</t>
    <phoneticPr fontId="1" type="noConversion"/>
  </si>
  <si>
    <t>STACK 1 냉각수 유량 확인</t>
    <phoneticPr fontId="1" type="noConversion"/>
  </si>
  <si>
    <t>STACK 2 냉각수 유량 확인</t>
    <phoneticPr fontId="1" type="noConversion"/>
  </si>
  <si>
    <t>가스 인입밸브 2</t>
  </si>
  <si>
    <t>ANODE 인입 밸브</t>
  </si>
  <si>
    <t>DI 탱크 배수 솔레노이드 밸브</t>
  </si>
  <si>
    <t>배기 응축수 드레인 솔레노이드 밸브</t>
  </si>
  <si>
    <t>개질기 질소퍼지 솔레노이드 밸브</t>
  </si>
  <si>
    <t>스택 질소퍼지 솔레노이드 밸브</t>
  </si>
  <si>
    <t>인버터 RUN</t>
  </si>
  <si>
    <t>RUN</t>
    <phoneticPr fontId="1" type="noConversion"/>
  </si>
  <si>
    <t>PNG 전동 밸브</t>
  </si>
  <si>
    <t>Anode 출구 전동 밸브</t>
  </si>
  <si>
    <t>AOG 전동 밸브</t>
  </si>
  <si>
    <t>AOG VENT 전동 밸브</t>
  </si>
  <si>
    <t>0~1000 kPa</t>
    <phoneticPr fontId="1" type="noConversion"/>
  </si>
  <si>
    <t>유틸리티 압력 확인용</t>
    <phoneticPr fontId="1" type="noConversion"/>
  </si>
  <si>
    <t>STACK 1 냉각수 입구 압력 확인</t>
    <phoneticPr fontId="1" type="noConversion"/>
  </si>
  <si>
    <t>가스 버퍼탱크 압력 확인용</t>
    <phoneticPr fontId="1" type="noConversion"/>
  </si>
  <si>
    <t>B</t>
    <phoneticPr fontId="1" type="noConversion"/>
  </si>
  <si>
    <t>LTS 촉매 히터 2</t>
    <phoneticPr fontId="1" type="noConversion"/>
  </si>
  <si>
    <t>LTS 촉매 히터 1</t>
    <phoneticPr fontId="1" type="noConversion"/>
  </si>
  <si>
    <t>개질수 펌프</t>
    <phoneticPr fontId="1" type="noConversion"/>
  </si>
  <si>
    <t>STACK 1 Cathode 입구 출구</t>
    <phoneticPr fontId="1" type="noConversion"/>
  </si>
  <si>
    <t>DI 응축수 온도</t>
    <phoneticPr fontId="1" type="noConversion"/>
  </si>
  <si>
    <t>DI 필터링 펌프</t>
    <phoneticPr fontId="1" type="noConversion"/>
  </si>
  <si>
    <t>재순환 탱크 전도도 센서</t>
    <phoneticPr fontId="1" type="noConversion"/>
  </si>
  <si>
    <t>내구성 평가용 지그 신호 (별도 구성)</t>
    <phoneticPr fontId="1" type="noConversion"/>
  </si>
  <si>
    <t>시스템 냉각수 탱크 드레인 벨브</t>
    <phoneticPr fontId="1" type="noConversion"/>
  </si>
  <si>
    <t>시스템 냉각수 탱크 상부 온도</t>
    <phoneticPr fontId="1" type="noConversion"/>
  </si>
  <si>
    <t>시스템 냉각수 탱크 하부 온도</t>
    <phoneticPr fontId="1" type="noConversion"/>
  </si>
  <si>
    <t>시스템 내부 온도</t>
    <phoneticPr fontId="1" type="noConversion"/>
  </si>
  <si>
    <t>Ref-LTS1</t>
    <phoneticPr fontId="1" type="noConversion"/>
  </si>
  <si>
    <t>Ref-LTS2</t>
    <phoneticPr fontId="1" type="noConversion"/>
  </si>
  <si>
    <t>Ref-EG</t>
    <phoneticPr fontId="1" type="noConversion"/>
  </si>
  <si>
    <t>PT</t>
    <phoneticPr fontId="1" type="noConversion"/>
  </si>
  <si>
    <t>STACK 1 Anode 입구 압력 측정</t>
    <phoneticPr fontId="1" type="noConversion"/>
  </si>
  <si>
    <t>STACK 2 Anode 입구 압력 측정</t>
    <phoneticPr fontId="1" type="noConversion"/>
  </si>
  <si>
    <t>Test 후 1번 통합</t>
    <phoneticPr fontId="1" type="noConversion"/>
  </si>
  <si>
    <t>P</t>
    <phoneticPr fontId="1" type="noConversion"/>
  </si>
  <si>
    <t>P108 / P109
 병렬 운전</t>
    <phoneticPr fontId="1" type="noConversion"/>
  </si>
  <si>
    <t>외부 냉각수 입구 온도</t>
    <phoneticPr fontId="1" type="noConversion"/>
  </si>
  <si>
    <t>시스템 배열 회수 온도</t>
    <phoneticPr fontId="1" type="noConversion"/>
  </si>
  <si>
    <t>외부 냉각수 출구 온도</t>
    <phoneticPr fontId="1" type="noConversion"/>
  </si>
  <si>
    <t>Prox-02</t>
    <phoneticPr fontId="1" type="noConversion"/>
  </si>
  <si>
    <t>외부 냉각수 회수 유량 확인</t>
    <phoneticPr fontId="1" type="noConversion"/>
  </si>
  <si>
    <t>시스템 배열 회수 유량 확인</t>
    <phoneticPr fontId="1" type="noConversion"/>
  </si>
  <si>
    <t>시스탬 열교환기 냉각수 공급</t>
    <phoneticPr fontId="1" type="noConversion"/>
  </si>
  <si>
    <t>개질 가스 열교환 냉각수 공급</t>
    <phoneticPr fontId="1" type="noConversion"/>
  </si>
  <si>
    <t>RG 열교환기 냉각수 공급</t>
    <phoneticPr fontId="1" type="noConversion"/>
  </si>
  <si>
    <t>수자립 펌프</t>
    <phoneticPr fontId="1" type="noConversion"/>
  </si>
  <si>
    <t>Prox 촉매 히터 1</t>
    <phoneticPr fontId="1" type="noConversion"/>
  </si>
  <si>
    <t>Prox 촉매 히터 2</t>
    <phoneticPr fontId="1" type="noConversion"/>
  </si>
  <si>
    <t xml:space="preserve">1~5 </t>
    <phoneticPr fontId="1" type="noConversion"/>
  </si>
  <si>
    <t>0~10</t>
    <phoneticPr fontId="1" type="noConversion"/>
  </si>
  <si>
    <t>PSCD0005RAPG</t>
    <phoneticPr fontId="1" type="noConversion"/>
  </si>
  <si>
    <t>PSS-01V-R1/8</t>
    <phoneticPr fontId="1" type="noConversion"/>
  </si>
  <si>
    <t>PSAN-L1CPV</t>
    <phoneticPr fontId="1" type="noConversion"/>
  </si>
  <si>
    <t>CM-230K</t>
    <phoneticPr fontId="1" type="noConversion"/>
  </si>
  <si>
    <t>PT201H-G01B</t>
    <phoneticPr fontId="1" type="noConversion"/>
  </si>
  <si>
    <t>PFMB7202-06-C</t>
    <phoneticPr fontId="1" type="noConversion"/>
  </si>
  <si>
    <t>PFM710-01-C</t>
    <phoneticPr fontId="1" type="noConversion"/>
  </si>
  <si>
    <t>PT201H-G01B-HT</t>
    <phoneticPr fontId="1" type="noConversion"/>
  </si>
  <si>
    <t>0.5~200</t>
    <phoneticPr fontId="1" type="noConversion"/>
  </si>
  <si>
    <t>0~400</t>
    <phoneticPr fontId="1" type="noConversion"/>
  </si>
  <si>
    <t>feedback =&gt; PT110(AI A 1) , PM33098-838.1.2</t>
    <phoneticPr fontId="1" type="noConversion"/>
  </si>
  <si>
    <t>feedback =&gt; FM231(AI A 9) , NMP850.1.2KPDCB-4 HP</t>
    <phoneticPr fontId="1" type="noConversion"/>
  </si>
  <si>
    <t>feedback =&gt; FM314(Counter A 3) , INTG3-140</t>
    <phoneticPr fontId="1" type="noConversion"/>
  </si>
  <si>
    <t>초순수 탱크 공급 온도</t>
    <phoneticPr fontId="1" type="noConversion"/>
  </si>
  <si>
    <t>STACK 1 냉각수 출구 온도</t>
    <phoneticPr fontId="1" type="noConversion"/>
  </si>
  <si>
    <t>STACK 1 냉각수 회수 온도</t>
    <phoneticPr fontId="1" type="noConversion"/>
  </si>
  <si>
    <t>STACK 2 냉각수 출구 온도</t>
    <phoneticPr fontId="1" type="noConversion"/>
  </si>
  <si>
    <t>STACK 2 냉각수 회수 온도</t>
    <phoneticPr fontId="1" type="noConversion"/>
  </si>
  <si>
    <t>시설수 공급 밸브</t>
    <phoneticPr fontId="1" type="noConversion"/>
  </si>
  <si>
    <t>스택</t>
    <phoneticPr fontId="1" type="noConversion"/>
  </si>
  <si>
    <t>시스템</t>
    <phoneticPr fontId="1" type="noConversion"/>
  </si>
  <si>
    <t>개질기</t>
    <phoneticPr fontId="1" type="noConversion"/>
  </si>
  <si>
    <t>0~50</t>
    <phoneticPr fontId="1" type="noConversion"/>
  </si>
  <si>
    <t>0~30</t>
    <phoneticPr fontId="1" type="noConversion"/>
  </si>
  <si>
    <t>PC (COM1) 연결</t>
    <phoneticPr fontId="1" type="noConversion"/>
  </si>
  <si>
    <t>PC (COM2) 연결, MAC ID :1, (RS485 TO RS232 컨버터 사용)</t>
    <phoneticPr fontId="1" type="noConversion"/>
  </si>
  <si>
    <t>PC (COM3) 연결, MAC ID :1, (RS485 TO RS232 컨버터 사용)</t>
    <phoneticPr fontId="1" type="noConversion"/>
  </si>
  <si>
    <t>PC (COM5) 연결 (RS485 TO RS232 컨버터 사용)</t>
    <phoneticPr fontId="1" type="noConversion"/>
  </si>
  <si>
    <t>PC (COM6) 연결</t>
    <phoneticPr fontId="1" type="noConversion"/>
  </si>
  <si>
    <t>스택</t>
    <phoneticPr fontId="1" type="noConversion"/>
  </si>
  <si>
    <t>개질기</t>
    <phoneticPr fontId="1" type="noConversion"/>
  </si>
  <si>
    <t>feedback =&gt; FM333(RS232 COM5) , GA-V21-DEMSE</t>
    <phoneticPr fontId="1" type="noConversion"/>
  </si>
  <si>
    <t>feedback =&gt; TC151(TC B 3) , INTG3-140</t>
    <phoneticPr fontId="1" type="noConversion"/>
  </si>
  <si>
    <t>STACK 공기 유량계</t>
    <phoneticPr fontId="1" type="noConversion"/>
  </si>
  <si>
    <t>INV CC 제어</t>
    <phoneticPr fontId="1" type="noConversion"/>
  </si>
  <si>
    <t>INV</t>
    <phoneticPr fontId="1" type="noConversion"/>
  </si>
  <si>
    <t>ADJ</t>
    <phoneticPr fontId="1" type="noConversion"/>
  </si>
  <si>
    <t>개질가스 우회로 전동밸브</t>
    <phoneticPr fontId="1" type="noConversion"/>
  </si>
  <si>
    <t>RS</t>
    <phoneticPr fontId="1" type="noConversion"/>
  </si>
  <si>
    <t>CVM</t>
    <phoneticPr fontId="1" type="noConversion"/>
  </si>
  <si>
    <t>HMI</t>
    <phoneticPr fontId="1" type="noConversion"/>
  </si>
  <si>
    <t>MFC</t>
    <phoneticPr fontId="1" type="noConversion"/>
  </si>
  <si>
    <t>USB to 485</t>
    <phoneticPr fontId="1" type="noConversion"/>
  </si>
  <si>
    <t>스택 Cell 전압 측정</t>
    <phoneticPr fontId="1" type="noConversion"/>
  </si>
  <si>
    <t>RoomCon,시스템 제어</t>
    <phoneticPr fontId="1" type="noConversion"/>
  </si>
  <si>
    <t>PC (COM7) 연결 (RS485 TO USB 컨버터 사용)</t>
    <phoneticPr fontId="1" type="noConversion"/>
  </si>
  <si>
    <t>PC (COM8) 연결 (RS485 TO USB 컨버터 사용)</t>
    <phoneticPr fontId="1" type="noConversion"/>
  </si>
  <si>
    <t>PC (COM4) 연결</t>
    <phoneticPr fontId="1" type="noConversion"/>
  </si>
  <si>
    <t>순수소 운전</t>
    <phoneticPr fontId="1" type="noConversion"/>
  </si>
  <si>
    <t xml:space="preserve">feedback =&gt; FM211(AI A 8) , </t>
    <phoneticPr fontId="1" type="noConversion"/>
  </si>
  <si>
    <t>feedback =&gt; FM324(Counter A 4) , INTG3-140</t>
    <phoneticPr fontId="1" type="noConversion"/>
  </si>
  <si>
    <t>feedback =&gt; TC318(TC B 10) , INTG3-140</t>
    <phoneticPr fontId="1" type="noConversion"/>
  </si>
  <si>
    <t>feedback =&gt; FM241(AI A 10) , VRB8-25-48</t>
    <phoneticPr fontId="1" type="noConversion"/>
  </si>
  <si>
    <t>feedback =&gt; TC174(TC B 5) , INTG3-140</t>
    <phoneticPr fontId="1" type="noConversion"/>
  </si>
  <si>
    <t>0~5</t>
    <phoneticPr fontId="1" type="noConversion"/>
  </si>
  <si>
    <t>0~800</t>
    <phoneticPr fontId="1" type="noConversion"/>
  </si>
  <si>
    <t>3~50</t>
    <phoneticPr fontId="1" type="noConversion"/>
  </si>
  <si>
    <t>#04</t>
    <phoneticPr fontId="1" type="noConversion"/>
  </si>
  <si>
    <t>Burner Air Blower</t>
    <phoneticPr fontId="1" type="noConversion"/>
  </si>
  <si>
    <t>Stack Air Blower</t>
    <phoneticPr fontId="1" type="noConversion"/>
  </si>
  <si>
    <t>PrOx Air Pump</t>
    <phoneticPr fontId="1" type="noConversion"/>
  </si>
  <si>
    <t>NG Pump</t>
    <phoneticPr fontId="1" type="noConversion"/>
  </si>
  <si>
    <t>NG Pump(AO A 11과 동일 신호 적용)</t>
    <phoneticPr fontId="1" type="noConversion"/>
  </si>
  <si>
    <t>가스 인입밸브 1</t>
    <phoneticPr fontId="1" type="noConversion"/>
  </si>
  <si>
    <t>펌프</t>
    <phoneticPr fontId="1" type="noConversion"/>
  </si>
  <si>
    <t>DWP-5698-2404</t>
    <phoneticPr fontId="1" type="noConversion"/>
  </si>
  <si>
    <t>24V/1.5A</t>
    <phoneticPr fontId="1" type="noConversion"/>
  </si>
  <si>
    <t>BNG 전동 밸브</t>
    <phoneticPr fontId="1" type="noConversion"/>
  </si>
  <si>
    <t>https://www.autonics.com/kr/model/PSS-01V-R18</t>
    <phoneticPr fontId="1" type="noConversion"/>
  </si>
  <si>
    <t>https://www.autonics.com/kr/model/PSS-01V-R19</t>
  </si>
  <si>
    <t>https://www.autonics.com/kr/model/PSS-01V-R20</t>
  </si>
  <si>
    <t>partr Link</t>
    <phoneticPr fontId="1" type="noConversion"/>
  </si>
  <si>
    <t>C</t>
    <phoneticPr fontId="1" type="noConversion"/>
  </si>
  <si>
    <t>scC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</si>
</sst>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0"/>
    <numFmt numFmtId="177" formatCode="&quot;#&quot;00"/>
    <numFmt numFmtId="178" formatCode="##\ #\ 00"/>
    <numFmt numFmtId="179" formatCode="0_);[Red]\(0\)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5" tint="-0.249977111117893"/>
      </bottom>
      <diagonal/>
    </border>
    <border>
      <left/>
      <right/>
      <top/>
      <bottom style="thick">
        <color theme="5" tint="-0.249977111117893"/>
      </bottom>
      <diagonal/>
    </border>
    <border>
      <left style="thin">
        <color indexed="64"/>
      </left>
      <right style="thin">
        <color indexed="64"/>
      </right>
      <top style="thick">
        <color theme="5" tint="-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C00000"/>
      </bottom>
      <diagonal/>
    </border>
    <border>
      <left style="thin">
        <color indexed="64"/>
      </left>
      <right style="thin">
        <color indexed="64"/>
      </right>
      <top style="thick">
        <color rgb="FFC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rgb="FFC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ck">
        <color rgb="FFC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C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theme="5" tint="-0.24997711111789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theme="5" tint="-0.24997711111789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ck">
        <color theme="5" tint="-0.249977111117893"/>
      </top>
      <bottom style="thin">
        <color indexed="64"/>
      </bottom>
      <diagonal/>
    </border>
    <border>
      <left style="thin">
        <color indexed="64"/>
      </left>
      <right/>
      <top style="thick">
        <color theme="5" tint="-0.249977111117893"/>
      </top>
      <bottom/>
      <diagonal/>
    </border>
  </borders>
  <cellStyleXfs count="9">
    <xf numFmtId="0" fontId="0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176" fontId="3" fillId="0" borderId="1" xfId="0" quotePrefix="1" applyNumberFormat="1" applyFont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6" borderId="1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177" fontId="3" fillId="0" borderId="0" xfId="0" applyNumberFormat="1" applyFont="1">
      <alignment vertical="center"/>
    </xf>
    <xf numFmtId="178" fontId="3" fillId="0" borderId="1" xfId="0" applyNumberFormat="1" applyFont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178" fontId="3" fillId="0" borderId="0" xfId="0" applyNumberFormat="1" applyFont="1">
      <alignment vertical="center"/>
    </xf>
    <xf numFmtId="0" fontId="3" fillId="10" borderId="1" xfId="1" applyNumberFormat="1" applyFont="1" applyFill="1" applyBorder="1" applyAlignment="1">
      <alignment horizontal="center" vertical="center"/>
    </xf>
    <xf numFmtId="0" fontId="3" fillId="0" borderId="1" xfId="2" applyFont="1" applyFill="1" applyBorder="1">
      <alignment vertical="center"/>
    </xf>
    <xf numFmtId="0" fontId="3" fillId="0" borderId="1" xfId="1" applyFont="1" applyFill="1" applyBorder="1">
      <alignment vertical="center"/>
    </xf>
    <xf numFmtId="0" fontId="3" fillId="0" borderId="1" xfId="1" applyFont="1" applyFill="1" applyBorder="1" applyAlignment="1">
      <alignment horizontal="right" vertical="center" wrapText="1"/>
    </xf>
    <xf numFmtId="0" fontId="3" fillId="0" borderId="1" xfId="1" applyFont="1" applyFill="1" applyBorder="1" applyAlignment="1">
      <alignment vertical="center"/>
    </xf>
    <xf numFmtId="0" fontId="3" fillId="0" borderId="1" xfId="2" applyFont="1" applyFill="1" applyBorder="1" applyAlignment="1">
      <alignment horizontal="left" vertical="center"/>
    </xf>
    <xf numFmtId="0" fontId="3" fillId="3" borderId="1" xfId="1" applyNumberFormat="1" applyFont="1" applyFill="1" applyBorder="1" applyAlignment="1">
      <alignment horizontal="center" vertical="center"/>
    </xf>
    <xf numFmtId="179" fontId="3" fillId="0" borderId="1" xfId="0" quotePrefix="1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0" fontId="3" fillId="0" borderId="1" xfId="2" applyNumberFormat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3" applyNumberFormat="1" applyFont="1" applyFill="1" applyBorder="1">
      <alignment vertical="center"/>
    </xf>
    <xf numFmtId="0" fontId="3" fillId="2" borderId="1" xfId="3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76" fontId="3" fillId="5" borderId="1" xfId="0" applyNumberFormat="1" applyFon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77" fontId="3" fillId="6" borderId="2" xfId="0" applyNumberFormat="1" applyFont="1" applyFill="1" applyBorder="1" applyAlignment="1">
      <alignment horizontal="center" vertical="center"/>
    </xf>
    <xf numFmtId="179" fontId="3" fillId="0" borderId="2" xfId="0" quotePrefix="1" applyNumberFormat="1" applyFont="1" applyBorder="1" applyAlignment="1">
      <alignment horizontal="center" vertical="center"/>
    </xf>
    <xf numFmtId="178" fontId="3" fillId="0" borderId="2" xfId="0" applyNumberFormat="1" applyFont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1" applyFont="1" applyFill="1" applyBorder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177" fontId="3" fillId="6" borderId="3" xfId="0" applyNumberFormat="1" applyFont="1" applyFill="1" applyBorder="1" applyAlignment="1">
      <alignment horizontal="center" vertical="center"/>
    </xf>
    <xf numFmtId="179" fontId="3" fillId="0" borderId="3" xfId="0" quotePrefix="1" applyNumberFormat="1" applyFont="1" applyBorder="1" applyAlignment="1">
      <alignment horizontal="center" vertical="center"/>
    </xf>
    <xf numFmtId="178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2" xfId="2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0" borderId="3" xfId="1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1" applyFont="1" applyFill="1" applyBorder="1">
      <alignment vertical="center"/>
    </xf>
    <xf numFmtId="176" fontId="3" fillId="0" borderId="2" xfId="0" quotePrefix="1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0" borderId="2" xfId="1" applyFont="1" applyFill="1" applyBorder="1" applyAlignment="1">
      <alignment vertical="center"/>
    </xf>
    <xf numFmtId="176" fontId="3" fillId="0" borderId="3" xfId="0" quotePrefix="1" applyNumberFormat="1" applyFont="1" applyBorder="1" applyAlignment="1">
      <alignment horizontal="center" vertical="center"/>
    </xf>
    <xf numFmtId="0" fontId="3" fillId="0" borderId="3" xfId="2" applyNumberFormat="1" applyFont="1" applyFill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0" fontId="3" fillId="0" borderId="3" xfId="0" quotePrefix="1" applyFont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2" xfId="1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2" applyFont="1" applyFill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0" fillId="0" borderId="2" xfId="0" applyBorder="1">
      <alignment vertical="center"/>
    </xf>
    <xf numFmtId="0" fontId="2" fillId="7" borderId="2" xfId="1" applyBorder="1" applyAlignment="1">
      <alignment horizontal="center" vertical="center"/>
    </xf>
    <xf numFmtId="0" fontId="2" fillId="7" borderId="2" xfId="1" applyNumberFormat="1" applyBorder="1" applyAlignment="1">
      <alignment horizontal="center" vertical="center"/>
    </xf>
    <xf numFmtId="0" fontId="2" fillId="7" borderId="1" xfId="1" applyBorder="1" applyAlignment="1">
      <alignment horizontal="center" vertical="center"/>
    </xf>
    <xf numFmtId="0" fontId="2" fillId="7" borderId="1" xfId="1" applyNumberFormat="1" applyBorder="1" applyAlignment="1">
      <alignment horizontal="center" vertical="center"/>
    </xf>
    <xf numFmtId="0" fontId="2" fillId="8" borderId="2" xfId="2" applyBorder="1" applyAlignment="1">
      <alignment horizontal="center" vertical="center"/>
    </xf>
    <xf numFmtId="0" fontId="2" fillId="8" borderId="1" xfId="2" applyBorder="1" applyAlignment="1">
      <alignment horizontal="center" vertical="center"/>
    </xf>
    <xf numFmtId="0" fontId="2" fillId="8" borderId="1" xfId="2" applyNumberFormat="1" applyBorder="1" applyAlignment="1">
      <alignment horizontal="center" vertical="center"/>
    </xf>
    <xf numFmtId="0" fontId="2" fillId="8" borderId="2" xfId="2" applyNumberFormat="1" applyBorder="1" applyAlignment="1">
      <alignment horizontal="center" vertical="center"/>
    </xf>
    <xf numFmtId="0" fontId="2" fillId="8" borderId="8" xfId="2" applyBorder="1" applyAlignment="1">
      <alignment horizontal="center" vertical="center"/>
    </xf>
    <xf numFmtId="0" fontId="3" fillId="0" borderId="8" xfId="2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8" xfId="1" applyFont="1" applyFill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2" fillId="7" borderId="6" xfId="1" applyBorder="1">
      <alignment vertical="center"/>
    </xf>
    <xf numFmtId="0" fontId="2" fillId="11" borderId="1" xfId="4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/>
    </xf>
    <xf numFmtId="0" fontId="3" fillId="0" borderId="9" xfId="0" quotePrefix="1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0" fillId="7" borderId="1" xfId="1" applyNumberFormat="1" applyFont="1" applyBorder="1" applyAlignment="1">
      <alignment horizontal="center" vertical="center"/>
    </xf>
    <xf numFmtId="0" fontId="0" fillId="7" borderId="2" xfId="1" applyFont="1" applyBorder="1" applyAlignment="1">
      <alignment horizontal="center" vertical="center"/>
    </xf>
    <xf numFmtId="0" fontId="0" fillId="7" borderId="1" xfId="1" applyFont="1" applyBorder="1" applyAlignment="1">
      <alignment horizontal="center" vertical="center"/>
    </xf>
    <xf numFmtId="0" fontId="0" fillId="8" borderId="2" xfId="2" applyFont="1" applyBorder="1" applyAlignment="1">
      <alignment horizontal="center" vertical="center"/>
    </xf>
    <xf numFmtId="0" fontId="0" fillId="8" borderId="1" xfId="2" applyFont="1" applyBorder="1" applyAlignment="1">
      <alignment horizontal="center" vertical="center"/>
    </xf>
    <xf numFmtId="0" fontId="3" fillId="0" borderId="10" xfId="2" applyNumberFormat="1" applyFont="1" applyFill="1" applyBorder="1" applyAlignment="1">
      <alignment horizontal="center" vertical="center"/>
    </xf>
    <xf numFmtId="0" fontId="2" fillId="8" borderId="11" xfId="2" applyNumberFormat="1" applyBorder="1" applyAlignment="1">
      <alignment horizontal="center" vertical="center"/>
    </xf>
    <xf numFmtId="0" fontId="2" fillId="8" borderId="10" xfId="2" applyNumberFormat="1" applyBorder="1" applyAlignment="1">
      <alignment horizontal="center" vertical="center"/>
    </xf>
    <xf numFmtId="0" fontId="2" fillId="8" borderId="3" xfId="2" applyNumberForma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9" fontId="3" fillId="0" borderId="6" xfId="0" quotePrefix="1" applyNumberFormat="1" applyFont="1" applyBorder="1" applyAlignment="1">
      <alignment horizontal="center" vertical="center"/>
    </xf>
    <xf numFmtId="178" fontId="3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177" fontId="2" fillId="14" borderId="1" xfId="7" applyNumberFormat="1" applyBorder="1" applyAlignment="1">
      <alignment horizontal="center" vertical="center"/>
    </xf>
    <xf numFmtId="177" fontId="2" fillId="14" borderId="6" xfId="7" applyNumberFormat="1" applyBorder="1" applyAlignment="1">
      <alignment horizontal="center" vertical="center"/>
    </xf>
    <xf numFmtId="177" fontId="2" fillId="14" borderId="8" xfId="7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12" borderId="0" xfId="5" applyAlignment="1">
      <alignment horizontal="center" vertical="center"/>
    </xf>
    <xf numFmtId="0" fontId="2" fillId="12" borderId="0" xfId="5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2" fillId="13" borderId="1" xfId="6" applyBorder="1" applyAlignment="1">
      <alignment horizontal="center" vertical="center"/>
    </xf>
    <xf numFmtId="0" fontId="2" fillId="13" borderId="6" xfId="6" applyBorder="1" applyAlignment="1">
      <alignment horizontal="center" vertical="center"/>
    </xf>
    <xf numFmtId="0" fontId="2" fillId="13" borderId="17" xfId="6" applyBorder="1" applyAlignment="1">
      <alignment horizontal="center" vertical="center"/>
    </xf>
    <xf numFmtId="0" fontId="2" fillId="11" borderId="0" xfId="4" applyAlignment="1">
      <alignment horizontal="center" vertical="center"/>
    </xf>
    <xf numFmtId="0" fontId="2" fillId="11" borderId="6" xfId="4" applyBorder="1" applyAlignment="1">
      <alignment horizontal="center" vertical="center"/>
    </xf>
    <xf numFmtId="0" fontId="2" fillId="11" borderId="6" xfId="4" applyNumberFormat="1" applyBorder="1" applyAlignment="1">
      <alignment horizontal="center" vertical="center"/>
    </xf>
    <xf numFmtId="0" fontId="2" fillId="11" borderId="17" xfId="4" applyBorder="1" applyAlignment="1">
      <alignment horizontal="center" vertical="center"/>
    </xf>
    <xf numFmtId="0" fontId="2" fillId="14" borderId="1" xfId="7" applyBorder="1" applyAlignment="1">
      <alignment horizontal="center" vertical="center"/>
    </xf>
    <xf numFmtId="0" fontId="2" fillId="14" borderId="11" xfId="7" applyBorder="1" applyAlignment="1">
      <alignment horizontal="center" vertical="center"/>
    </xf>
    <xf numFmtId="0" fontId="2" fillId="14" borderId="1" xfId="7" applyBorder="1">
      <alignment vertical="center"/>
    </xf>
    <xf numFmtId="0" fontId="2" fillId="14" borderId="6" xfId="7" applyBorder="1">
      <alignment vertical="center"/>
    </xf>
    <xf numFmtId="0" fontId="0" fillId="0" borderId="8" xfId="0" quotePrefix="1" applyBorder="1" applyAlignment="1">
      <alignment horizontal="center" vertical="center"/>
    </xf>
    <xf numFmtId="178" fontId="3" fillId="0" borderId="9" xfId="0" applyNumberFormat="1" applyFont="1" applyBorder="1" applyAlignment="1">
      <alignment horizontal="center" vertical="center"/>
    </xf>
    <xf numFmtId="0" fontId="2" fillId="14" borderId="6" xfId="7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2" fillId="11" borderId="7" xfId="4" applyBorder="1" applyAlignment="1">
      <alignment horizontal="center" vertical="center"/>
    </xf>
    <xf numFmtId="0" fontId="2" fillId="11" borderId="19" xfId="4" applyBorder="1" applyAlignment="1">
      <alignment horizontal="center" vertical="center"/>
    </xf>
    <xf numFmtId="0" fontId="3" fillId="0" borderId="9" xfId="1" applyNumberFormat="1" applyFont="1" applyFill="1" applyBorder="1" applyAlignment="1">
      <alignment horizontal="center" vertical="center"/>
    </xf>
    <xf numFmtId="0" fontId="2" fillId="11" borderId="18" xfId="4" applyBorder="1" applyAlignment="1">
      <alignment horizontal="center" vertical="center"/>
    </xf>
    <xf numFmtId="0" fontId="2" fillId="13" borderId="8" xfId="6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>
      <alignment vertical="center"/>
    </xf>
    <xf numFmtId="0" fontId="3" fillId="0" borderId="6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5" xfId="0" applyFont="1" applyBorder="1">
      <alignment vertical="center"/>
    </xf>
    <xf numFmtId="0" fontId="0" fillId="0" borderId="0" xfId="0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quotePrefix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horizontal="right" vertical="center"/>
    </xf>
    <xf numFmtId="0" fontId="0" fillId="0" borderId="24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2" fillId="13" borderId="0" xfId="6" applyAlignment="1">
      <alignment horizontal="center" vertical="center"/>
    </xf>
    <xf numFmtId="0" fontId="2" fillId="13" borderId="11" xfId="6" applyBorder="1" applyAlignment="1">
      <alignment horizontal="center" vertical="center"/>
    </xf>
    <xf numFmtId="0" fontId="2" fillId="14" borderId="0" xfId="7" applyAlignment="1">
      <alignment horizontal="center" vertical="center"/>
    </xf>
    <xf numFmtId="0" fontId="2" fillId="14" borderId="5" xfId="7" applyBorder="1" applyAlignment="1">
      <alignment horizontal="center" vertical="center"/>
    </xf>
    <xf numFmtId="0" fontId="0" fillId="14" borderId="1" xfId="7" applyFont="1" applyBorder="1" applyAlignment="1">
      <alignment horizontal="center" vertical="center"/>
    </xf>
    <xf numFmtId="0" fontId="0" fillId="14" borderId="5" xfId="7" applyFont="1" applyBorder="1" applyAlignment="1">
      <alignment horizontal="center" vertical="center"/>
    </xf>
    <xf numFmtId="0" fontId="3" fillId="0" borderId="6" xfId="1" applyFont="1" applyFill="1" applyBorder="1" applyAlignment="1">
      <alignment horizontal="left" vertical="center"/>
    </xf>
    <xf numFmtId="0" fontId="10" fillId="0" borderId="1" xfId="8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9">
    <cellStyle name="20% - 강조색1" xfId="1" builtinId="30"/>
    <cellStyle name="20% - 강조색2" xfId="2" builtinId="34"/>
    <cellStyle name="20% - 강조색3" xfId="6" builtinId="38"/>
    <cellStyle name="20% - 강조색4" xfId="4" builtinId="42"/>
    <cellStyle name="20% - 강조색6" xfId="7" builtinId="50"/>
    <cellStyle name="40% - 강조색2" xfId="5" builtinId="35"/>
    <cellStyle name="쉼표 [0]" xfId="3" builtinId="6"/>
    <cellStyle name="표준" xfId="0" builtinId="0"/>
    <cellStyle name="하이퍼링크" xfId="8" builtinId="8"/>
  </cellStyles>
  <dxfs count="135">
    <dxf>
      <fill>
        <patternFill>
          <bgColor rgb="FF33CCFF"/>
        </patternFill>
      </fill>
    </dxf>
    <dxf>
      <fill>
        <patternFill>
          <bgColor rgb="FFFF7C80"/>
        </patternFill>
      </fill>
    </dxf>
    <dxf>
      <fill>
        <patternFill>
          <bgColor rgb="FFFF66FF"/>
        </patternFill>
      </fill>
    </dxf>
    <dxf>
      <fill>
        <patternFill>
          <bgColor rgb="FF33CC33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FF66FF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33CC33"/>
        </patternFill>
      </fill>
    </dxf>
    <dxf>
      <fill>
        <patternFill>
          <bgColor rgb="FF33CCFF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33CCFF"/>
        </patternFill>
      </fill>
    </dxf>
    <dxf>
      <fill>
        <patternFill>
          <bgColor rgb="FFFF7C80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theme="6" tint="0.59996337778862885"/>
        </patternFill>
      </fill>
    </dxf>
    <dxf>
      <fill>
        <patternFill>
          <bgColor rgb="FFFF66FF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7C80"/>
        </patternFill>
      </fill>
    </dxf>
    <dxf>
      <fill>
        <patternFill>
          <bgColor rgb="FF33CC33"/>
        </patternFill>
      </fill>
    </dxf>
    <dxf>
      <fill>
        <patternFill>
          <bgColor rgb="FFFF7C80"/>
        </patternFill>
      </fill>
    </dxf>
    <dxf>
      <fill>
        <patternFill>
          <bgColor rgb="FF33CCFF"/>
        </patternFill>
      </fill>
    </dxf>
    <dxf>
      <fill>
        <patternFill>
          <bgColor rgb="FFFF66FF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rgb="FF33CCFF"/>
        </patternFill>
      </fill>
    </dxf>
    <dxf>
      <fill>
        <patternFill>
          <bgColor theme="6" tint="0.59996337778862885"/>
        </patternFill>
      </fill>
    </dxf>
    <dxf>
      <fill>
        <patternFill>
          <bgColor rgb="FFFF66FF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66FF"/>
        </patternFill>
      </fill>
    </dxf>
    <dxf>
      <fill>
        <patternFill>
          <bgColor rgb="FF33CC33"/>
        </patternFill>
      </fill>
    </dxf>
    <dxf>
      <fill>
        <patternFill>
          <bgColor rgb="FF33CCFF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FF66FF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66FF"/>
        </patternFill>
      </fill>
    </dxf>
    <dxf>
      <fill>
        <patternFill>
          <bgColor rgb="FF33CC33"/>
        </patternFill>
      </fill>
    </dxf>
    <dxf>
      <fill>
        <patternFill>
          <bgColor rgb="FF33CCFF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rgb="FF33CCFF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33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FF66FF"/>
        </patternFill>
      </fill>
    </dxf>
    <dxf>
      <fill>
        <patternFill>
          <bgColor rgb="FF33CC33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DAD500"/>
      <color rgb="FFF8F200"/>
      <color rgb="FF0BEB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utonics.com/kr/model/PSS-01V-R18" TargetMode="External"/><Relationship Id="rId2" Type="http://schemas.openxmlformats.org/officeDocument/2006/relationships/hyperlink" Target="https://www.autonics.com/kr/model/PSS-01V-R18" TargetMode="External"/><Relationship Id="rId1" Type="http://schemas.openxmlformats.org/officeDocument/2006/relationships/hyperlink" Target="https://www.autonics.com/kr/model/PSS-01V-R18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46"/>
  <sheetViews>
    <sheetView tabSelected="1" view="pageBreakPreview" topLeftCell="D1" zoomScaleNormal="85" zoomScaleSheetLayoutView="100" workbookViewId="0">
      <pane ySplit="1" topLeftCell="A74" activePane="bottomLeft" state="frozen"/>
      <selection activeCell="C1" sqref="C1"/>
      <selection pane="bottomLeft" activeCell="D52" sqref="A52:XFD52"/>
    </sheetView>
  </sheetViews>
  <sheetFormatPr defaultColWidth="9" defaultRowHeight="16.5"/>
  <cols>
    <col min="1" max="1" width="5" style="12" customWidth="1"/>
    <col min="2" max="2" width="12.125" style="1" customWidth="1"/>
    <col min="3" max="3" width="9" style="21" customWidth="1"/>
    <col min="4" max="4" width="9.875" style="1" customWidth="1"/>
    <col min="5" max="6" width="11.25" style="1" customWidth="1"/>
    <col min="7" max="7" width="9.875" style="18" customWidth="1"/>
    <col min="8" max="8" width="17.25" style="24" customWidth="1"/>
    <col min="9" max="9" width="2.125" style="1" customWidth="1"/>
    <col min="10" max="10" width="12.125" style="12" customWidth="1"/>
    <col min="11" max="11" width="16.75" style="12" customWidth="1"/>
    <col min="12" max="12" width="16.75" style="1" customWidth="1"/>
    <col min="13" max="13" width="15.875" style="1" bestFit="1" customWidth="1"/>
    <col min="14" max="14" width="38" style="12" customWidth="1"/>
    <col min="15" max="15" width="12.125" style="13" customWidth="1"/>
    <col min="16" max="16" width="43.5" style="1" customWidth="1"/>
    <col min="17" max="17" width="52.75" style="1" customWidth="1"/>
    <col min="18" max="18" width="14.625" style="1" bestFit="1" customWidth="1"/>
    <col min="19" max="19" width="9.25" style="1" bestFit="1" customWidth="1"/>
    <col min="20" max="20" width="7.375" style="12" bestFit="1" customWidth="1"/>
    <col min="21" max="21" width="7.125" style="1" customWidth="1"/>
    <col min="22" max="16384" width="9" style="1"/>
  </cols>
  <sheetData>
    <row r="1" spans="1:21" ht="33">
      <c r="A1" s="48" t="s">
        <v>36</v>
      </c>
      <c r="B1" s="48" t="s">
        <v>17</v>
      </c>
      <c r="C1" s="49" t="s">
        <v>16</v>
      </c>
      <c r="D1" s="48" t="s">
        <v>15</v>
      </c>
      <c r="E1" s="50" t="s">
        <v>30</v>
      </c>
      <c r="F1" s="50" t="s">
        <v>31</v>
      </c>
      <c r="G1" s="51" t="s">
        <v>32</v>
      </c>
      <c r="H1" s="52" t="s">
        <v>33</v>
      </c>
      <c r="I1" s="53"/>
      <c r="J1" s="54" t="s">
        <v>27</v>
      </c>
      <c r="K1" s="50" t="s">
        <v>26</v>
      </c>
      <c r="L1" s="50" t="s">
        <v>28</v>
      </c>
      <c r="M1" s="55" t="s">
        <v>60</v>
      </c>
      <c r="N1" s="48" t="s">
        <v>14</v>
      </c>
      <c r="O1" s="48" t="s">
        <v>18</v>
      </c>
      <c r="P1" s="48" t="s">
        <v>276</v>
      </c>
      <c r="Q1" s="48" t="s">
        <v>275</v>
      </c>
      <c r="R1" s="48" t="s">
        <v>12</v>
      </c>
      <c r="S1" s="50" t="s">
        <v>11</v>
      </c>
      <c r="T1" s="48" t="s">
        <v>10</v>
      </c>
      <c r="U1" s="50" t="s">
        <v>9</v>
      </c>
    </row>
    <row r="2" spans="1:21">
      <c r="A2" s="5">
        <f>IF($H2="","",ROW()-1)</f>
        <v>1</v>
      </c>
      <c r="B2" s="5" t="s">
        <v>37</v>
      </c>
      <c r="C2" s="19">
        <v>1</v>
      </c>
      <c r="D2" s="5" t="s">
        <v>55</v>
      </c>
      <c r="E2" s="5" t="s">
        <v>56</v>
      </c>
      <c r="F2" s="5">
        <v>485</v>
      </c>
      <c r="G2" s="32">
        <v>1</v>
      </c>
      <c r="H2" s="22" t="str">
        <f t="shared" ref="H2:H29" si="0">E2&amp;" "&amp;F2&amp;" "&amp;G2</f>
        <v>RS 485 1</v>
      </c>
      <c r="I2" s="6"/>
      <c r="J2" s="15" t="s">
        <v>38</v>
      </c>
      <c r="K2" s="15">
        <v>506</v>
      </c>
      <c r="L2" s="25" t="str">
        <f>$J2 &amp; $K2</f>
        <v>INV506</v>
      </c>
      <c r="M2" s="14"/>
      <c r="N2" s="8" t="s">
        <v>77</v>
      </c>
      <c r="O2" s="8"/>
      <c r="P2" s="101" t="s">
        <v>228</v>
      </c>
      <c r="Q2" s="101"/>
      <c r="R2" s="9"/>
      <c r="S2" s="9"/>
      <c r="T2" s="5"/>
      <c r="U2" s="9"/>
    </row>
    <row r="3" spans="1:21">
      <c r="A3" s="5">
        <f t="shared" ref="A3:A68" si="1">IF($H3="","",ROW()-1)</f>
        <v>2</v>
      </c>
      <c r="B3" s="5" t="s">
        <v>37</v>
      </c>
      <c r="C3" s="19">
        <v>1</v>
      </c>
      <c r="D3" s="5" t="s">
        <v>55</v>
      </c>
      <c r="E3" s="5" t="s">
        <v>56</v>
      </c>
      <c r="F3" s="5">
        <v>232</v>
      </c>
      <c r="G3" s="32">
        <v>2</v>
      </c>
      <c r="H3" s="22" t="str">
        <f t="shared" si="0"/>
        <v>RS 232 2</v>
      </c>
      <c r="I3" s="6"/>
      <c r="J3" s="15" t="s">
        <v>25</v>
      </c>
      <c r="K3" s="15">
        <v>131</v>
      </c>
      <c r="L3" s="25" t="str">
        <f>$J3 &amp; $K3</f>
        <v>MFC131</v>
      </c>
      <c r="M3" s="14" t="s">
        <v>61</v>
      </c>
      <c r="N3" s="8" t="s">
        <v>79</v>
      </c>
      <c r="O3" s="8"/>
      <c r="P3" s="101" t="s">
        <v>229</v>
      </c>
      <c r="Q3" s="101"/>
      <c r="R3" s="120" t="s">
        <v>226</v>
      </c>
      <c r="S3" s="103" t="s">
        <v>68</v>
      </c>
      <c r="T3" s="5"/>
      <c r="U3" s="9"/>
    </row>
    <row r="4" spans="1:21">
      <c r="A4" s="5">
        <f t="shared" si="1"/>
        <v>3</v>
      </c>
      <c r="B4" s="5" t="s">
        <v>37</v>
      </c>
      <c r="C4" s="19">
        <v>1</v>
      </c>
      <c r="D4" s="5" t="s">
        <v>55</v>
      </c>
      <c r="E4" s="5" t="s">
        <v>56</v>
      </c>
      <c r="F4" s="5">
        <v>232</v>
      </c>
      <c r="G4" s="32">
        <v>3</v>
      </c>
      <c r="H4" s="22" t="str">
        <f t="shared" si="0"/>
        <v>RS 232 3</v>
      </c>
      <c r="I4" s="165"/>
      <c r="J4" s="15" t="s">
        <v>25</v>
      </c>
      <c r="K4" s="15">
        <v>121</v>
      </c>
      <c r="L4" s="25" t="str">
        <f>$J4 &amp; $K4</f>
        <v>MFC121</v>
      </c>
      <c r="M4" s="14" t="s">
        <v>61</v>
      </c>
      <c r="N4" s="8" t="s">
        <v>78</v>
      </c>
      <c r="O4" s="8"/>
      <c r="P4" s="101" t="s">
        <v>230</v>
      </c>
      <c r="Q4" s="101"/>
      <c r="R4" s="120" t="s">
        <v>227</v>
      </c>
      <c r="S4" s="103" t="s">
        <v>68</v>
      </c>
      <c r="T4" s="5"/>
      <c r="U4" s="9"/>
    </row>
    <row r="5" spans="1:21" s="144" customFormat="1">
      <c r="A5" s="143">
        <f t="shared" si="1"/>
        <v>4</v>
      </c>
      <c r="B5" s="90" t="s">
        <v>37</v>
      </c>
      <c r="C5" s="140">
        <v>1</v>
      </c>
      <c r="D5" s="150" t="s">
        <v>55</v>
      </c>
      <c r="E5" s="150" t="s">
        <v>56</v>
      </c>
      <c r="F5" s="150">
        <v>232</v>
      </c>
      <c r="G5" s="156">
        <v>4</v>
      </c>
      <c r="H5" s="148" t="str">
        <f t="shared" si="0"/>
        <v>RS 232 4</v>
      </c>
      <c r="I5" s="166"/>
      <c r="J5" s="122" t="s">
        <v>244</v>
      </c>
      <c r="K5" s="161"/>
      <c r="L5" s="122" t="s">
        <v>244</v>
      </c>
      <c r="M5" s="158"/>
      <c r="N5" s="157" t="s">
        <v>248</v>
      </c>
      <c r="O5" s="143"/>
      <c r="P5" s="150" t="s">
        <v>251</v>
      </c>
      <c r="Q5" s="150"/>
      <c r="R5" s="90"/>
      <c r="S5" s="148"/>
      <c r="T5" s="90"/>
      <c r="U5" s="143"/>
    </row>
    <row r="6" spans="1:21">
      <c r="A6" s="5">
        <f t="shared" si="1"/>
        <v>5</v>
      </c>
      <c r="B6" s="5" t="s">
        <v>37</v>
      </c>
      <c r="C6" s="140">
        <v>1</v>
      </c>
      <c r="D6" s="5" t="s">
        <v>55</v>
      </c>
      <c r="E6" s="5" t="s">
        <v>56</v>
      </c>
      <c r="F6" s="5">
        <v>232</v>
      </c>
      <c r="G6" s="32">
        <v>5</v>
      </c>
      <c r="H6" s="22" t="str">
        <f t="shared" si="0"/>
        <v>RS 232 5</v>
      </c>
      <c r="I6" s="167"/>
      <c r="J6" s="122" t="s">
        <v>62</v>
      </c>
      <c r="K6" s="162">
        <v>333</v>
      </c>
      <c r="L6" s="163" t="str">
        <f>$J6 &amp; $K6</f>
        <v>FM333</v>
      </c>
      <c r="M6" s="159" t="s">
        <v>61</v>
      </c>
      <c r="N6" s="8" t="s">
        <v>80</v>
      </c>
      <c r="O6" s="8"/>
      <c r="P6" s="101" t="s">
        <v>231</v>
      </c>
      <c r="Q6" s="101"/>
      <c r="R6" s="9"/>
      <c r="S6" s="9"/>
      <c r="T6" s="5"/>
      <c r="U6" s="9"/>
    </row>
    <row r="7" spans="1:21" s="73" customFormat="1" ht="17.25" thickBot="1">
      <c r="A7" s="135">
        <f t="shared" si="1"/>
        <v>6</v>
      </c>
      <c r="B7" s="5" t="s">
        <v>37</v>
      </c>
      <c r="C7" s="141">
        <v>1</v>
      </c>
      <c r="D7" s="5" t="s">
        <v>55</v>
      </c>
      <c r="E7" s="5" t="s">
        <v>56</v>
      </c>
      <c r="F7" s="135">
        <v>232</v>
      </c>
      <c r="G7" s="136">
        <v>6</v>
      </c>
      <c r="H7" s="137" t="str">
        <f t="shared" si="0"/>
        <v>RS 232 6</v>
      </c>
      <c r="I7" s="168"/>
      <c r="J7" s="162" t="s">
        <v>57</v>
      </c>
      <c r="K7" s="162"/>
      <c r="L7" s="163" t="str">
        <f>$J7 &amp; $K7</f>
        <v>Controller</v>
      </c>
      <c r="M7" s="159"/>
      <c r="N7" s="94" t="s">
        <v>122</v>
      </c>
      <c r="O7" s="94"/>
      <c r="P7" s="138" t="s">
        <v>232</v>
      </c>
      <c r="Q7" s="138"/>
      <c r="R7" s="92"/>
      <c r="S7" s="92"/>
      <c r="T7" s="135"/>
      <c r="U7" s="92"/>
    </row>
    <row r="8" spans="1:21" s="145" customFormat="1" ht="17.25" thickTop="1">
      <c r="A8" s="152">
        <v>7</v>
      </c>
      <c r="B8" s="146" t="s">
        <v>37</v>
      </c>
      <c r="C8" s="141">
        <v>1</v>
      </c>
      <c r="D8" s="143" t="s">
        <v>55</v>
      </c>
      <c r="E8" s="90" t="s">
        <v>56</v>
      </c>
      <c r="F8" s="90">
        <v>485</v>
      </c>
      <c r="G8" s="151">
        <v>7</v>
      </c>
      <c r="H8" s="90" t="str">
        <f t="shared" si="0"/>
        <v>RS 485 7</v>
      </c>
      <c r="I8" s="165"/>
      <c r="J8" s="122" t="s">
        <v>243</v>
      </c>
      <c r="K8" s="164"/>
      <c r="L8" s="164" t="str">
        <f>$J8 &amp; $K8</f>
        <v>CVM</v>
      </c>
      <c r="M8" s="160" t="s">
        <v>246</v>
      </c>
      <c r="N8" s="38" t="s">
        <v>247</v>
      </c>
      <c r="O8" s="90"/>
      <c r="P8" s="152" t="s">
        <v>249</v>
      </c>
      <c r="Q8" s="152"/>
      <c r="R8" s="90"/>
      <c r="S8" s="90"/>
      <c r="T8" s="90"/>
      <c r="U8" s="152"/>
    </row>
    <row r="9" spans="1:21" s="145" customFormat="1" ht="17.25" thickBot="1">
      <c r="A9" s="147">
        <v>8</v>
      </c>
      <c r="B9" s="155" t="s">
        <v>37</v>
      </c>
      <c r="C9" s="142">
        <v>1</v>
      </c>
      <c r="D9" s="149" t="s">
        <v>55</v>
      </c>
      <c r="E9" s="155" t="s">
        <v>242</v>
      </c>
      <c r="F9" s="155">
        <v>485</v>
      </c>
      <c r="G9" s="169">
        <v>8</v>
      </c>
      <c r="H9" s="91" t="str">
        <f t="shared" si="0"/>
        <v>RS 485 8</v>
      </c>
      <c r="I9" s="171"/>
      <c r="J9" s="173" t="s">
        <v>245</v>
      </c>
      <c r="K9" s="174"/>
      <c r="L9" s="176" t="str">
        <f>$J9 &amp; $K9</f>
        <v>MFC</v>
      </c>
      <c r="M9" s="177" t="s">
        <v>246</v>
      </c>
      <c r="N9" s="178" t="s">
        <v>252</v>
      </c>
      <c r="O9" s="153"/>
      <c r="P9" s="91" t="s">
        <v>250</v>
      </c>
      <c r="Q9" s="91"/>
      <c r="R9" s="155"/>
      <c r="S9" s="91"/>
      <c r="T9" s="154"/>
      <c r="U9" s="143"/>
    </row>
    <row r="10" spans="1:21" ht="17.25" thickTop="1">
      <c r="A10" s="139">
        <f t="shared" si="1"/>
        <v>9</v>
      </c>
      <c r="B10" s="139" t="s">
        <v>29</v>
      </c>
      <c r="C10" s="58">
        <v>2</v>
      </c>
      <c r="D10" s="139" t="s">
        <v>81</v>
      </c>
      <c r="E10" s="139" t="s">
        <v>29</v>
      </c>
      <c r="F10" s="139" t="s">
        <v>6</v>
      </c>
      <c r="G10" s="59">
        <v>0</v>
      </c>
      <c r="H10" s="170" t="str">
        <f t="shared" si="0"/>
        <v>TC A 0</v>
      </c>
      <c r="I10" s="172"/>
      <c r="J10" s="139" t="s">
        <v>20</v>
      </c>
      <c r="K10" s="175">
        <v>180</v>
      </c>
      <c r="L10" s="175" t="str">
        <f>$J10 &amp; $K10</f>
        <v>TC180</v>
      </c>
      <c r="M10" s="62" t="s">
        <v>119</v>
      </c>
      <c r="N10" s="63" t="s">
        <v>123</v>
      </c>
      <c r="O10" s="179"/>
      <c r="P10" s="179"/>
      <c r="Q10" s="64"/>
      <c r="R10" s="65"/>
      <c r="S10" s="180"/>
      <c r="T10" s="139"/>
      <c r="U10" s="180"/>
    </row>
    <row r="11" spans="1:21">
      <c r="A11" s="5">
        <f t="shared" si="1"/>
        <v>10</v>
      </c>
      <c r="B11" s="5" t="s">
        <v>29</v>
      </c>
      <c r="C11" s="19">
        <v>2</v>
      </c>
      <c r="D11" s="5" t="s">
        <v>81</v>
      </c>
      <c r="E11" s="5" t="s">
        <v>29</v>
      </c>
      <c r="F11" s="5" t="s">
        <v>6</v>
      </c>
      <c r="G11" s="32">
        <v>1</v>
      </c>
      <c r="H11" s="22" t="str">
        <f t="shared" si="0"/>
        <v>TC A 1</v>
      </c>
      <c r="I11" s="6"/>
      <c r="J11" s="5" t="s">
        <v>20</v>
      </c>
      <c r="K11" s="34">
        <v>181</v>
      </c>
      <c r="L11" s="34" t="str">
        <f t="shared" ref="L11:L54" si="2">$J11 &amp; $K11</f>
        <v>TC181</v>
      </c>
      <c r="M11" s="7" t="s">
        <v>119</v>
      </c>
      <c r="N11" s="27" t="s">
        <v>124</v>
      </c>
      <c r="O11" s="8"/>
      <c r="P11" s="8"/>
      <c r="Q11" s="8"/>
      <c r="R11" s="11"/>
      <c r="S11" s="9"/>
      <c r="T11" s="5"/>
      <c r="U11" s="9"/>
    </row>
    <row r="12" spans="1:21">
      <c r="A12" s="5">
        <f t="shared" si="1"/>
        <v>11</v>
      </c>
      <c r="B12" s="5" t="s">
        <v>29</v>
      </c>
      <c r="C12" s="19">
        <v>2</v>
      </c>
      <c r="D12" s="5" t="s">
        <v>81</v>
      </c>
      <c r="E12" s="5" t="s">
        <v>29</v>
      </c>
      <c r="F12" s="5" t="s">
        <v>6</v>
      </c>
      <c r="G12" s="32">
        <v>2</v>
      </c>
      <c r="H12" s="22" t="str">
        <f t="shared" si="0"/>
        <v>TC A 2</v>
      </c>
      <c r="I12" s="6"/>
      <c r="J12" s="5" t="s">
        <v>20</v>
      </c>
      <c r="K12" s="34">
        <v>182</v>
      </c>
      <c r="L12" s="34" t="str">
        <f t="shared" si="2"/>
        <v>TC182</v>
      </c>
      <c r="M12" s="7" t="s">
        <v>119</v>
      </c>
      <c r="N12" s="27" t="s">
        <v>125</v>
      </c>
      <c r="O12" s="8"/>
      <c r="P12" s="8"/>
      <c r="Q12" s="8"/>
      <c r="R12" s="11"/>
      <c r="S12" s="9"/>
      <c r="T12" s="5"/>
      <c r="U12" s="9"/>
    </row>
    <row r="13" spans="1:21">
      <c r="A13" s="5">
        <f t="shared" si="1"/>
        <v>12</v>
      </c>
      <c r="B13" s="5" t="s">
        <v>29</v>
      </c>
      <c r="C13" s="19">
        <v>2</v>
      </c>
      <c r="D13" s="5" t="s">
        <v>81</v>
      </c>
      <c r="E13" s="5" t="s">
        <v>29</v>
      </c>
      <c r="F13" s="5" t="s">
        <v>6</v>
      </c>
      <c r="G13" s="32">
        <v>3</v>
      </c>
      <c r="H13" s="22" t="str">
        <f t="shared" si="0"/>
        <v>TC A 3</v>
      </c>
      <c r="I13" s="6"/>
      <c r="J13" s="5" t="s">
        <v>20</v>
      </c>
      <c r="K13" s="34">
        <v>183</v>
      </c>
      <c r="L13" s="34" t="str">
        <f t="shared" si="2"/>
        <v>TC183</v>
      </c>
      <c r="M13" s="7" t="s">
        <v>119</v>
      </c>
      <c r="N13" s="27" t="s">
        <v>126</v>
      </c>
      <c r="O13" s="8"/>
      <c r="P13" s="8"/>
      <c r="Q13" s="8"/>
      <c r="R13" s="11"/>
      <c r="S13" s="9"/>
      <c r="T13" s="5"/>
      <c r="U13" s="9"/>
    </row>
    <row r="14" spans="1:21">
      <c r="A14" s="5">
        <f t="shared" si="1"/>
        <v>13</v>
      </c>
      <c r="B14" s="5" t="s">
        <v>29</v>
      </c>
      <c r="C14" s="19">
        <v>2</v>
      </c>
      <c r="D14" s="5" t="s">
        <v>81</v>
      </c>
      <c r="E14" s="5" t="s">
        <v>29</v>
      </c>
      <c r="F14" s="5" t="s">
        <v>6</v>
      </c>
      <c r="G14" s="32">
        <v>4</v>
      </c>
      <c r="H14" s="22" t="str">
        <f t="shared" si="0"/>
        <v>TC A 4</v>
      </c>
      <c r="I14" s="6"/>
      <c r="J14" s="5" t="s">
        <v>20</v>
      </c>
      <c r="K14" s="34">
        <v>184</v>
      </c>
      <c r="L14" s="34" t="str">
        <f t="shared" si="2"/>
        <v>TC184</v>
      </c>
      <c r="M14" s="7" t="s">
        <v>119</v>
      </c>
      <c r="N14" s="27" t="s">
        <v>181</v>
      </c>
      <c r="O14" s="8"/>
      <c r="P14" s="8"/>
      <c r="Q14" s="8"/>
      <c r="R14" s="11"/>
      <c r="S14" s="9"/>
      <c r="T14" s="5"/>
      <c r="U14" s="9"/>
    </row>
    <row r="15" spans="1:21">
      <c r="A15" s="5">
        <f t="shared" si="1"/>
        <v>14</v>
      </c>
      <c r="B15" s="5" t="s">
        <v>29</v>
      </c>
      <c r="C15" s="19">
        <v>2</v>
      </c>
      <c r="D15" s="5" t="s">
        <v>81</v>
      </c>
      <c r="E15" s="5" t="s">
        <v>29</v>
      </c>
      <c r="F15" s="5" t="s">
        <v>6</v>
      </c>
      <c r="G15" s="32">
        <v>5</v>
      </c>
      <c r="H15" s="22" t="str">
        <f t="shared" si="0"/>
        <v>TC A 5</v>
      </c>
      <c r="I15" s="6"/>
      <c r="J15" s="5" t="s">
        <v>20</v>
      </c>
      <c r="K15" s="34">
        <v>185</v>
      </c>
      <c r="L15" s="34" t="str">
        <f t="shared" si="2"/>
        <v>TC185</v>
      </c>
      <c r="M15" s="7" t="s">
        <v>119</v>
      </c>
      <c r="N15" s="27" t="s">
        <v>182</v>
      </c>
      <c r="O15" s="8"/>
      <c r="P15" s="8"/>
      <c r="Q15" s="8"/>
      <c r="R15" s="11"/>
      <c r="S15" s="9"/>
      <c r="T15" s="5"/>
      <c r="U15" s="9"/>
    </row>
    <row r="16" spans="1:21">
      <c r="A16" s="5">
        <f t="shared" si="1"/>
        <v>15</v>
      </c>
      <c r="B16" s="5" t="s">
        <v>29</v>
      </c>
      <c r="C16" s="19">
        <v>2</v>
      </c>
      <c r="D16" s="5" t="s">
        <v>81</v>
      </c>
      <c r="E16" s="5" t="s">
        <v>29</v>
      </c>
      <c r="F16" s="5" t="s">
        <v>6</v>
      </c>
      <c r="G16" s="32">
        <v>6</v>
      </c>
      <c r="H16" s="22" t="str">
        <f t="shared" si="0"/>
        <v>TC A 6</v>
      </c>
      <c r="I16" s="6"/>
      <c r="J16" s="5" t="s">
        <v>20</v>
      </c>
      <c r="K16" s="34">
        <v>186</v>
      </c>
      <c r="L16" s="34" t="str">
        <f t="shared" si="2"/>
        <v>TC186</v>
      </c>
      <c r="M16" s="7" t="s">
        <v>119</v>
      </c>
      <c r="N16" s="27" t="s">
        <v>127</v>
      </c>
      <c r="O16" s="8"/>
      <c r="P16" s="8"/>
      <c r="Q16" s="8"/>
      <c r="R16" s="11"/>
      <c r="S16" s="9"/>
      <c r="T16" s="5"/>
      <c r="U16" s="9"/>
    </row>
    <row r="17" spans="1:21">
      <c r="A17" s="5">
        <f t="shared" si="1"/>
        <v>16</v>
      </c>
      <c r="B17" s="5" t="s">
        <v>29</v>
      </c>
      <c r="C17" s="19">
        <v>2</v>
      </c>
      <c r="D17" s="5" t="s">
        <v>81</v>
      </c>
      <c r="E17" s="5" t="s">
        <v>29</v>
      </c>
      <c r="F17" s="5" t="s">
        <v>6</v>
      </c>
      <c r="G17" s="32">
        <v>7</v>
      </c>
      <c r="H17" s="22" t="str">
        <f t="shared" si="0"/>
        <v>TC A 7</v>
      </c>
      <c r="I17" s="6"/>
      <c r="J17" s="5" t="s">
        <v>20</v>
      </c>
      <c r="K17" s="34">
        <v>187</v>
      </c>
      <c r="L17" s="34" t="str">
        <f t="shared" si="2"/>
        <v>TC187</v>
      </c>
      <c r="M17" s="7" t="s">
        <v>119</v>
      </c>
      <c r="N17" s="27" t="s">
        <v>183</v>
      </c>
      <c r="O17" s="8"/>
      <c r="P17" s="8"/>
      <c r="Q17" s="8"/>
      <c r="R17" s="11"/>
      <c r="S17" s="9"/>
      <c r="T17" s="5"/>
      <c r="U17" s="9"/>
    </row>
    <row r="18" spans="1:21">
      <c r="A18" s="5">
        <f t="shared" si="1"/>
        <v>17</v>
      </c>
      <c r="B18" s="5" t="s">
        <v>29</v>
      </c>
      <c r="C18" s="19">
        <v>2</v>
      </c>
      <c r="D18" s="5" t="s">
        <v>81</v>
      </c>
      <c r="E18" s="5" t="s">
        <v>29</v>
      </c>
      <c r="F18" s="5" t="s">
        <v>6</v>
      </c>
      <c r="G18" s="32">
        <v>8</v>
      </c>
      <c r="H18" s="22" t="str">
        <f t="shared" si="0"/>
        <v>TC A 8</v>
      </c>
      <c r="I18" s="6"/>
      <c r="J18" s="5" t="s">
        <v>29</v>
      </c>
      <c r="K18" s="34">
        <v>188</v>
      </c>
      <c r="L18" s="34" t="str">
        <f t="shared" si="2"/>
        <v>TC188</v>
      </c>
      <c r="M18" s="7" t="s">
        <v>119</v>
      </c>
      <c r="N18" s="27" t="s">
        <v>128</v>
      </c>
      <c r="O18" s="8"/>
      <c r="P18" s="8"/>
      <c r="Q18" s="8"/>
      <c r="R18" s="11"/>
      <c r="S18" s="9"/>
      <c r="T18" s="5"/>
      <c r="U18" s="9"/>
    </row>
    <row r="19" spans="1:21">
      <c r="A19" s="5">
        <f t="shared" si="1"/>
        <v>18</v>
      </c>
      <c r="B19" s="5" t="s">
        <v>29</v>
      </c>
      <c r="C19" s="19">
        <v>2</v>
      </c>
      <c r="D19" s="5" t="s">
        <v>81</v>
      </c>
      <c r="E19" s="5" t="s">
        <v>29</v>
      </c>
      <c r="F19" s="5" t="s">
        <v>6</v>
      </c>
      <c r="G19" s="32">
        <v>9</v>
      </c>
      <c r="H19" s="22" t="str">
        <f t="shared" si="0"/>
        <v>TC A 9</v>
      </c>
      <c r="I19" s="6"/>
      <c r="J19" s="5" t="s">
        <v>20</v>
      </c>
      <c r="K19" s="34">
        <v>189</v>
      </c>
      <c r="L19" s="34" t="str">
        <f t="shared" si="2"/>
        <v>TC189</v>
      </c>
      <c r="M19" s="7" t="s">
        <v>119</v>
      </c>
      <c r="N19" s="27" t="s">
        <v>193</v>
      </c>
      <c r="O19" s="8"/>
      <c r="P19" s="8"/>
      <c r="Q19" s="8"/>
      <c r="R19" s="11"/>
      <c r="S19" s="9"/>
      <c r="T19" s="5"/>
      <c r="U19" s="9"/>
    </row>
    <row r="20" spans="1:21">
      <c r="A20" s="5">
        <f t="shared" si="1"/>
        <v>19</v>
      </c>
      <c r="B20" s="5" t="s">
        <v>29</v>
      </c>
      <c r="C20" s="19">
        <v>2</v>
      </c>
      <c r="D20" s="5" t="s">
        <v>8</v>
      </c>
      <c r="E20" s="5" t="s">
        <v>29</v>
      </c>
      <c r="F20" s="5" t="s">
        <v>6</v>
      </c>
      <c r="G20" s="32">
        <v>10</v>
      </c>
      <c r="H20" s="22" t="str">
        <f t="shared" si="0"/>
        <v>TC A 10</v>
      </c>
      <c r="I20" s="6"/>
      <c r="J20" s="5" t="s">
        <v>20</v>
      </c>
      <c r="K20" s="34">
        <v>190</v>
      </c>
      <c r="L20" s="34" t="str">
        <f t="shared" si="2"/>
        <v>TC190</v>
      </c>
      <c r="M20" s="7" t="s">
        <v>119</v>
      </c>
      <c r="N20" s="27" t="s">
        <v>129</v>
      </c>
      <c r="O20" s="8"/>
      <c r="P20" s="8"/>
      <c r="Q20" s="8"/>
      <c r="R20" s="11"/>
      <c r="S20" s="9"/>
      <c r="T20" s="5"/>
      <c r="U20" s="9"/>
    </row>
    <row r="21" spans="1:21">
      <c r="A21" s="5">
        <f t="shared" si="1"/>
        <v>20</v>
      </c>
      <c r="B21" s="5" t="s">
        <v>29</v>
      </c>
      <c r="C21" s="19">
        <v>2</v>
      </c>
      <c r="D21" s="5" t="s">
        <v>8</v>
      </c>
      <c r="E21" s="5" t="s">
        <v>29</v>
      </c>
      <c r="F21" s="5" t="s">
        <v>6</v>
      </c>
      <c r="G21" s="32">
        <v>11</v>
      </c>
      <c r="H21" s="22" t="str">
        <f t="shared" si="0"/>
        <v>TC A 11</v>
      </c>
      <c r="I21" s="6"/>
      <c r="J21" s="5"/>
      <c r="K21" s="34"/>
      <c r="L21" s="34"/>
      <c r="M21" s="7"/>
      <c r="N21" s="38"/>
      <c r="O21" s="8"/>
      <c r="P21" s="8"/>
      <c r="Q21" s="8"/>
      <c r="R21" s="11"/>
      <c r="S21" s="9"/>
      <c r="T21" s="5"/>
      <c r="U21" s="9"/>
    </row>
    <row r="22" spans="1:21">
      <c r="A22" s="5">
        <f t="shared" si="1"/>
        <v>21</v>
      </c>
      <c r="B22" s="5" t="s">
        <v>29</v>
      </c>
      <c r="C22" s="19">
        <v>2</v>
      </c>
      <c r="D22" s="5" t="s">
        <v>8</v>
      </c>
      <c r="E22" s="5" t="s">
        <v>29</v>
      </c>
      <c r="F22" s="5" t="s">
        <v>6</v>
      </c>
      <c r="G22" s="32">
        <v>12</v>
      </c>
      <c r="H22" s="22" t="str">
        <f t="shared" si="0"/>
        <v>TC A 12</v>
      </c>
      <c r="I22" s="6"/>
      <c r="J22" s="5"/>
      <c r="K22" s="34"/>
      <c r="L22" s="34"/>
      <c r="M22" s="7"/>
      <c r="N22" s="38"/>
      <c r="O22" s="8"/>
      <c r="P22" s="8"/>
      <c r="Q22" s="8"/>
      <c r="R22" s="11"/>
      <c r="S22" s="9"/>
      <c r="T22" s="5"/>
      <c r="U22" s="9"/>
    </row>
    <row r="23" spans="1:21">
      <c r="A23" s="5">
        <f t="shared" si="1"/>
        <v>22</v>
      </c>
      <c r="B23" s="5" t="s">
        <v>29</v>
      </c>
      <c r="C23" s="19">
        <v>2</v>
      </c>
      <c r="D23" s="5" t="s">
        <v>8</v>
      </c>
      <c r="E23" s="5" t="s">
        <v>29</v>
      </c>
      <c r="F23" s="5" t="s">
        <v>6</v>
      </c>
      <c r="G23" s="32">
        <v>13</v>
      </c>
      <c r="H23" s="22" t="str">
        <f t="shared" si="0"/>
        <v>TC A 13</v>
      </c>
      <c r="I23" s="6"/>
      <c r="J23" s="5"/>
      <c r="K23" s="34"/>
      <c r="L23" s="34"/>
      <c r="M23" s="7"/>
      <c r="N23" s="38"/>
      <c r="O23" s="8"/>
      <c r="P23" s="8"/>
      <c r="Q23" s="8"/>
      <c r="R23" s="11"/>
      <c r="S23" s="9"/>
      <c r="T23" s="5"/>
      <c r="U23" s="9"/>
    </row>
    <row r="24" spans="1:21">
      <c r="A24" s="5">
        <f t="shared" si="1"/>
        <v>23</v>
      </c>
      <c r="B24" s="5" t="s">
        <v>29</v>
      </c>
      <c r="C24" s="19">
        <v>2</v>
      </c>
      <c r="D24" s="5" t="s">
        <v>8</v>
      </c>
      <c r="E24" s="5" t="s">
        <v>29</v>
      </c>
      <c r="F24" s="5" t="s">
        <v>6</v>
      </c>
      <c r="G24" s="32">
        <v>14</v>
      </c>
      <c r="H24" s="22" t="str">
        <f t="shared" si="0"/>
        <v>TC A 14</v>
      </c>
      <c r="I24" s="6"/>
      <c r="J24" s="5"/>
      <c r="K24" s="34"/>
      <c r="L24" s="34"/>
      <c r="M24" s="7"/>
      <c r="N24" s="38"/>
      <c r="O24" s="8"/>
      <c r="P24" s="8"/>
      <c r="Q24" s="8"/>
      <c r="R24" s="11"/>
      <c r="S24" s="9"/>
      <c r="T24" s="5"/>
      <c r="U24" s="9"/>
    </row>
    <row r="25" spans="1:21">
      <c r="A25" s="5">
        <f t="shared" si="1"/>
        <v>24</v>
      </c>
      <c r="B25" s="5" t="s">
        <v>29</v>
      </c>
      <c r="C25" s="19">
        <v>2</v>
      </c>
      <c r="D25" s="5" t="s">
        <v>8</v>
      </c>
      <c r="E25" s="5" t="s">
        <v>29</v>
      </c>
      <c r="F25" s="5" t="s">
        <v>6</v>
      </c>
      <c r="G25" s="32">
        <v>15</v>
      </c>
      <c r="H25" s="22" t="str">
        <f t="shared" si="0"/>
        <v>TC A 15</v>
      </c>
      <c r="I25" s="6"/>
      <c r="J25" s="5"/>
      <c r="K25" s="34"/>
      <c r="L25" s="34"/>
      <c r="M25" s="7"/>
      <c r="N25" s="38"/>
      <c r="O25" s="8"/>
      <c r="P25" s="8"/>
      <c r="Q25" s="8"/>
      <c r="R25" s="11"/>
      <c r="S25" s="9"/>
      <c r="T25" s="5"/>
      <c r="U25" s="9"/>
    </row>
    <row r="26" spans="1:21">
      <c r="A26" s="5">
        <f t="shared" si="1"/>
        <v>25</v>
      </c>
      <c r="B26" s="5" t="s">
        <v>29</v>
      </c>
      <c r="C26" s="19">
        <v>2</v>
      </c>
      <c r="D26" s="5" t="s">
        <v>8</v>
      </c>
      <c r="E26" s="5" t="s">
        <v>29</v>
      </c>
      <c r="F26" s="5" t="s">
        <v>6</v>
      </c>
      <c r="G26" s="32">
        <v>16</v>
      </c>
      <c r="H26" s="22" t="str">
        <f t="shared" si="0"/>
        <v>TC A 16</v>
      </c>
      <c r="I26" s="6"/>
      <c r="J26" s="5"/>
      <c r="K26" s="34"/>
      <c r="L26" s="34"/>
      <c r="M26" s="7"/>
      <c r="N26" s="38"/>
      <c r="O26" s="8"/>
      <c r="P26" s="8"/>
      <c r="Q26" s="8"/>
      <c r="R26" s="11"/>
      <c r="S26" s="9"/>
      <c r="T26" s="5"/>
      <c r="U26" s="9"/>
    </row>
    <row r="27" spans="1:21">
      <c r="A27" s="5">
        <f t="shared" si="1"/>
        <v>26</v>
      </c>
      <c r="B27" s="5" t="s">
        <v>29</v>
      </c>
      <c r="C27" s="19">
        <v>2</v>
      </c>
      <c r="D27" s="5" t="s">
        <v>8</v>
      </c>
      <c r="E27" s="5" t="s">
        <v>29</v>
      </c>
      <c r="F27" s="5" t="s">
        <v>6</v>
      </c>
      <c r="G27" s="32">
        <v>17</v>
      </c>
      <c r="H27" s="22" t="str">
        <f t="shared" si="0"/>
        <v>TC A 17</v>
      </c>
      <c r="I27" s="6"/>
      <c r="J27" s="5"/>
      <c r="K27" s="34"/>
      <c r="L27" s="34"/>
      <c r="M27" s="7"/>
      <c r="N27" s="27"/>
      <c r="O27" s="8"/>
      <c r="P27" s="8"/>
      <c r="Q27" s="8"/>
      <c r="R27" s="11"/>
      <c r="S27" s="9"/>
      <c r="T27" s="5"/>
      <c r="U27" s="9"/>
    </row>
    <row r="28" spans="1:21">
      <c r="A28" s="5">
        <f t="shared" si="1"/>
        <v>27</v>
      </c>
      <c r="B28" s="5" t="s">
        <v>29</v>
      </c>
      <c r="C28" s="19">
        <v>2</v>
      </c>
      <c r="D28" s="5" t="s">
        <v>8</v>
      </c>
      <c r="E28" s="5" t="s">
        <v>29</v>
      </c>
      <c r="F28" s="5" t="s">
        <v>6</v>
      </c>
      <c r="G28" s="32">
        <v>18</v>
      </c>
      <c r="H28" s="22" t="str">
        <f t="shared" si="0"/>
        <v>TC A 18</v>
      </c>
      <c r="I28" s="6"/>
      <c r="J28" s="5"/>
      <c r="K28" s="34"/>
      <c r="L28" s="34"/>
      <c r="M28" s="7"/>
      <c r="N28" s="27"/>
      <c r="O28" s="8"/>
      <c r="P28" s="8"/>
      <c r="Q28" s="8"/>
      <c r="R28" s="11"/>
      <c r="S28" s="9"/>
      <c r="T28" s="5"/>
      <c r="U28" s="9"/>
    </row>
    <row r="29" spans="1:21">
      <c r="A29" s="5">
        <f t="shared" si="1"/>
        <v>28</v>
      </c>
      <c r="B29" s="5" t="s">
        <v>29</v>
      </c>
      <c r="C29" s="19">
        <v>2</v>
      </c>
      <c r="D29" s="5" t="s">
        <v>8</v>
      </c>
      <c r="E29" s="5" t="s">
        <v>29</v>
      </c>
      <c r="F29" s="5" t="s">
        <v>6</v>
      </c>
      <c r="G29" s="32">
        <v>19</v>
      </c>
      <c r="H29" s="22" t="str">
        <f t="shared" si="0"/>
        <v>TC A 19</v>
      </c>
      <c r="I29" s="6"/>
      <c r="J29" s="5"/>
      <c r="K29" s="5"/>
      <c r="L29" s="34"/>
      <c r="M29" s="7"/>
      <c r="N29" s="56"/>
      <c r="O29" s="8"/>
      <c r="P29" s="8"/>
      <c r="Q29" s="8"/>
      <c r="R29" s="9"/>
      <c r="S29" s="9"/>
      <c r="T29" s="5"/>
      <c r="U29" s="9"/>
    </row>
    <row r="30" spans="1:21">
      <c r="A30" s="5">
        <f t="shared" si="1"/>
        <v>29</v>
      </c>
      <c r="B30" s="5" t="s">
        <v>29</v>
      </c>
      <c r="C30" s="19">
        <v>2</v>
      </c>
      <c r="D30" s="5" t="s">
        <v>81</v>
      </c>
      <c r="E30" s="5" t="s">
        <v>29</v>
      </c>
      <c r="F30" s="5" t="s">
        <v>168</v>
      </c>
      <c r="G30" s="32">
        <v>0</v>
      </c>
      <c r="H30" s="22" t="str">
        <f t="shared" ref="H30:H49" si="3">E30&amp;" "&amp;F30&amp;" "&amp;G30</f>
        <v>TC B 0</v>
      </c>
      <c r="I30" s="6"/>
      <c r="J30" s="5" t="s">
        <v>20</v>
      </c>
      <c r="K30" s="34">
        <v>105</v>
      </c>
      <c r="L30" s="34" t="str">
        <f t="shared" si="2"/>
        <v>TC105</v>
      </c>
      <c r="M30" s="7" t="s">
        <v>120</v>
      </c>
      <c r="N30" s="38" t="s">
        <v>64</v>
      </c>
      <c r="O30" s="8"/>
      <c r="P30" s="8"/>
      <c r="Q30" s="8"/>
      <c r="R30" s="11"/>
      <c r="S30" s="9"/>
      <c r="T30" s="5"/>
      <c r="U30" s="9"/>
    </row>
    <row r="31" spans="1:21">
      <c r="A31" s="5">
        <f t="shared" si="1"/>
        <v>30</v>
      </c>
      <c r="B31" s="5" t="s">
        <v>29</v>
      </c>
      <c r="C31" s="19">
        <v>2</v>
      </c>
      <c r="D31" s="5" t="s">
        <v>81</v>
      </c>
      <c r="E31" s="5" t="s">
        <v>29</v>
      </c>
      <c r="F31" s="5" t="s">
        <v>168</v>
      </c>
      <c r="G31" s="32">
        <v>1</v>
      </c>
      <c r="H31" s="22" t="str">
        <f t="shared" si="3"/>
        <v>TC B 1</v>
      </c>
      <c r="I31" s="6"/>
      <c r="J31" s="5" t="s">
        <v>20</v>
      </c>
      <c r="K31" s="34">
        <v>125</v>
      </c>
      <c r="L31" s="34" t="str">
        <f t="shared" si="2"/>
        <v>TC125</v>
      </c>
      <c r="M31" s="7" t="s">
        <v>120</v>
      </c>
      <c r="N31" s="38" t="s">
        <v>65</v>
      </c>
      <c r="O31" s="8"/>
      <c r="P31" s="8"/>
      <c r="Q31" s="8"/>
      <c r="R31" s="11"/>
      <c r="S31" s="9"/>
      <c r="T31" s="5"/>
      <c r="U31" s="9"/>
    </row>
    <row r="32" spans="1:21">
      <c r="A32" s="5">
        <f t="shared" si="1"/>
        <v>31</v>
      </c>
      <c r="B32" s="5" t="s">
        <v>29</v>
      </c>
      <c r="C32" s="19">
        <v>2</v>
      </c>
      <c r="D32" s="5" t="s">
        <v>81</v>
      </c>
      <c r="E32" s="5" t="s">
        <v>29</v>
      </c>
      <c r="F32" s="5" t="s">
        <v>168</v>
      </c>
      <c r="G32" s="32">
        <v>2</v>
      </c>
      <c r="H32" s="22" t="str">
        <f t="shared" si="3"/>
        <v>TC B 2</v>
      </c>
      <c r="I32" s="6"/>
      <c r="J32" s="5" t="s">
        <v>29</v>
      </c>
      <c r="K32" s="34">
        <v>146</v>
      </c>
      <c r="L32" s="34" t="str">
        <f t="shared" si="2"/>
        <v>TC146</v>
      </c>
      <c r="M32" s="7" t="s">
        <v>120</v>
      </c>
      <c r="N32" s="38" t="s">
        <v>130</v>
      </c>
      <c r="O32" s="8"/>
      <c r="P32" s="8"/>
      <c r="Q32" s="8"/>
      <c r="R32" s="11"/>
      <c r="S32" s="9"/>
      <c r="T32" s="5"/>
      <c r="U32" s="9"/>
    </row>
    <row r="33" spans="1:21">
      <c r="A33" s="5">
        <f t="shared" si="1"/>
        <v>32</v>
      </c>
      <c r="B33" s="5" t="s">
        <v>29</v>
      </c>
      <c r="C33" s="19">
        <v>2</v>
      </c>
      <c r="D33" s="5" t="s">
        <v>81</v>
      </c>
      <c r="E33" s="5" t="s">
        <v>29</v>
      </c>
      <c r="F33" s="5" t="s">
        <v>168</v>
      </c>
      <c r="G33" s="32">
        <v>3</v>
      </c>
      <c r="H33" s="22" t="str">
        <f t="shared" si="3"/>
        <v>TC B 3</v>
      </c>
      <c r="I33" s="6"/>
      <c r="J33" s="5" t="s">
        <v>29</v>
      </c>
      <c r="K33" s="34">
        <v>151</v>
      </c>
      <c r="L33" s="34" t="str">
        <f t="shared" si="2"/>
        <v>TC151</v>
      </c>
      <c r="M33" s="7" t="s">
        <v>120</v>
      </c>
      <c r="N33" s="38" t="s">
        <v>131</v>
      </c>
      <c r="O33" s="8"/>
      <c r="P33" s="8"/>
      <c r="Q33" s="8"/>
      <c r="R33" s="11"/>
      <c r="S33" s="9"/>
      <c r="T33" s="5"/>
      <c r="U33" s="9"/>
    </row>
    <row r="34" spans="1:21">
      <c r="A34" s="5">
        <f t="shared" si="1"/>
        <v>33</v>
      </c>
      <c r="B34" s="5" t="s">
        <v>29</v>
      </c>
      <c r="C34" s="19">
        <v>2</v>
      </c>
      <c r="D34" s="5" t="s">
        <v>81</v>
      </c>
      <c r="E34" s="5" t="s">
        <v>29</v>
      </c>
      <c r="F34" s="5" t="s">
        <v>168</v>
      </c>
      <c r="G34" s="32">
        <v>4</v>
      </c>
      <c r="H34" s="22" t="str">
        <f t="shared" si="3"/>
        <v>TC B 4</v>
      </c>
      <c r="I34" s="6"/>
      <c r="J34" s="5" t="s">
        <v>29</v>
      </c>
      <c r="K34" s="34">
        <v>167</v>
      </c>
      <c r="L34" s="34" t="str">
        <f t="shared" si="2"/>
        <v>TC167</v>
      </c>
      <c r="M34" s="7" t="s">
        <v>120</v>
      </c>
      <c r="N34" s="38" t="s">
        <v>118</v>
      </c>
      <c r="O34" s="8"/>
      <c r="P34" s="8"/>
      <c r="Q34" s="8"/>
      <c r="R34" s="11"/>
      <c r="S34" s="9"/>
      <c r="T34" s="5"/>
      <c r="U34" s="9"/>
    </row>
    <row r="35" spans="1:21">
      <c r="A35" s="5">
        <f t="shared" si="1"/>
        <v>34</v>
      </c>
      <c r="B35" s="5" t="s">
        <v>29</v>
      </c>
      <c r="C35" s="19">
        <v>2</v>
      </c>
      <c r="D35" s="5" t="s">
        <v>81</v>
      </c>
      <c r="E35" s="5" t="s">
        <v>29</v>
      </c>
      <c r="F35" s="5" t="s">
        <v>168</v>
      </c>
      <c r="G35" s="32">
        <v>5</v>
      </c>
      <c r="H35" s="22" t="str">
        <f t="shared" si="3"/>
        <v>TC B 5</v>
      </c>
      <c r="I35" s="6"/>
      <c r="J35" s="5" t="s">
        <v>29</v>
      </c>
      <c r="K35" s="34">
        <v>174</v>
      </c>
      <c r="L35" s="34" t="str">
        <f t="shared" si="2"/>
        <v>TC174</v>
      </c>
      <c r="M35" s="7" t="s">
        <v>120</v>
      </c>
      <c r="N35" s="27" t="s">
        <v>132</v>
      </c>
      <c r="O35" s="8"/>
      <c r="P35" s="8"/>
      <c r="Q35" s="8"/>
      <c r="R35" s="11"/>
      <c r="S35" s="9"/>
      <c r="T35" s="5"/>
      <c r="U35" s="9"/>
    </row>
    <row r="36" spans="1:21">
      <c r="A36" s="5">
        <f t="shared" si="1"/>
        <v>35</v>
      </c>
      <c r="B36" s="5" t="s">
        <v>29</v>
      </c>
      <c r="C36" s="19">
        <v>2</v>
      </c>
      <c r="D36" s="5" t="s">
        <v>81</v>
      </c>
      <c r="E36" s="5" t="s">
        <v>29</v>
      </c>
      <c r="F36" s="5" t="s">
        <v>168</v>
      </c>
      <c r="G36" s="32">
        <v>6</v>
      </c>
      <c r="H36" s="22" t="str">
        <f t="shared" si="3"/>
        <v>TC B 6</v>
      </c>
      <c r="I36" s="6"/>
      <c r="J36" s="5" t="s">
        <v>29</v>
      </c>
      <c r="K36" s="34">
        <v>214</v>
      </c>
      <c r="L36" s="34" t="str">
        <f t="shared" si="2"/>
        <v>TC214</v>
      </c>
      <c r="M36" s="7" t="s">
        <v>120</v>
      </c>
      <c r="N36" s="27" t="s">
        <v>133</v>
      </c>
      <c r="O36" s="8"/>
      <c r="P36" s="8"/>
      <c r="Q36" s="8"/>
      <c r="R36" s="11"/>
      <c r="S36" s="9"/>
      <c r="T36" s="5"/>
      <c r="U36" s="9"/>
    </row>
    <row r="37" spans="1:21">
      <c r="A37" s="5">
        <f t="shared" si="1"/>
        <v>36</v>
      </c>
      <c r="B37" s="5" t="s">
        <v>29</v>
      </c>
      <c r="C37" s="19">
        <v>2</v>
      </c>
      <c r="D37" s="5" t="s">
        <v>81</v>
      </c>
      <c r="E37" s="5" t="s">
        <v>29</v>
      </c>
      <c r="F37" s="5" t="s">
        <v>168</v>
      </c>
      <c r="G37" s="32">
        <v>7</v>
      </c>
      <c r="H37" s="22" t="str">
        <f t="shared" si="3"/>
        <v>TC B 7</v>
      </c>
      <c r="I37" s="6"/>
      <c r="J37" s="5" t="s">
        <v>29</v>
      </c>
      <c r="K37" s="5">
        <v>215</v>
      </c>
      <c r="L37" s="34" t="str">
        <f t="shared" si="2"/>
        <v>TC215</v>
      </c>
      <c r="M37" s="7" t="s">
        <v>120</v>
      </c>
      <c r="N37" s="56" t="s">
        <v>172</v>
      </c>
      <c r="O37" s="8"/>
      <c r="P37" s="8"/>
      <c r="Q37" s="8"/>
      <c r="R37" s="11"/>
      <c r="S37" s="9"/>
      <c r="T37" s="5"/>
      <c r="U37" s="9"/>
    </row>
    <row r="38" spans="1:21">
      <c r="A38" s="5">
        <f t="shared" si="1"/>
        <v>37</v>
      </c>
      <c r="B38" s="5" t="s">
        <v>29</v>
      </c>
      <c r="C38" s="19">
        <v>2</v>
      </c>
      <c r="D38" s="5" t="s">
        <v>81</v>
      </c>
      <c r="E38" s="5" t="s">
        <v>29</v>
      </c>
      <c r="F38" s="5" t="s">
        <v>168</v>
      </c>
      <c r="G38" s="32">
        <v>8</v>
      </c>
      <c r="H38" s="22" t="str">
        <f t="shared" si="3"/>
        <v>TC B 8</v>
      </c>
      <c r="I38" s="6"/>
      <c r="J38" s="5" t="s">
        <v>20</v>
      </c>
      <c r="K38" s="34">
        <v>303</v>
      </c>
      <c r="L38" s="34" t="str">
        <f t="shared" si="2"/>
        <v>TC303</v>
      </c>
      <c r="M38" s="7" t="s">
        <v>120</v>
      </c>
      <c r="N38" s="27" t="s">
        <v>217</v>
      </c>
      <c r="O38" s="8"/>
      <c r="P38" s="8"/>
      <c r="Q38" s="8"/>
      <c r="R38" s="11"/>
      <c r="S38" s="9"/>
      <c r="T38" s="5"/>
      <c r="U38" s="9"/>
    </row>
    <row r="39" spans="1:21">
      <c r="A39" s="5">
        <f t="shared" si="1"/>
        <v>38</v>
      </c>
      <c r="B39" s="5" t="s">
        <v>29</v>
      </c>
      <c r="C39" s="19">
        <v>2</v>
      </c>
      <c r="D39" s="5" t="s">
        <v>81</v>
      </c>
      <c r="E39" s="5" t="s">
        <v>29</v>
      </c>
      <c r="F39" s="5" t="s">
        <v>168</v>
      </c>
      <c r="G39" s="32">
        <v>9</v>
      </c>
      <c r="H39" s="22" t="str">
        <f t="shared" si="3"/>
        <v>TC B 9</v>
      </c>
      <c r="I39" s="6"/>
      <c r="J39" s="5" t="s">
        <v>20</v>
      </c>
      <c r="K39" s="34">
        <v>316</v>
      </c>
      <c r="L39" s="34" t="str">
        <f t="shared" si="2"/>
        <v>TC316</v>
      </c>
      <c r="M39" s="7" t="s">
        <v>120</v>
      </c>
      <c r="N39" s="27" t="s">
        <v>218</v>
      </c>
      <c r="O39" s="8"/>
      <c r="P39" s="8"/>
      <c r="Q39" s="8"/>
      <c r="R39" s="11"/>
      <c r="S39" s="9"/>
      <c r="T39" s="5"/>
      <c r="U39" s="9"/>
    </row>
    <row r="40" spans="1:21">
      <c r="A40" s="5">
        <f t="shared" si="1"/>
        <v>39</v>
      </c>
      <c r="B40" s="5" t="s">
        <v>29</v>
      </c>
      <c r="C40" s="19">
        <v>2</v>
      </c>
      <c r="D40" s="5" t="s">
        <v>8</v>
      </c>
      <c r="E40" s="5" t="s">
        <v>29</v>
      </c>
      <c r="F40" s="5" t="s">
        <v>168</v>
      </c>
      <c r="G40" s="32">
        <v>10</v>
      </c>
      <c r="H40" s="22" t="str">
        <f t="shared" si="3"/>
        <v>TC B 10</v>
      </c>
      <c r="I40" s="6"/>
      <c r="J40" s="5" t="s">
        <v>20</v>
      </c>
      <c r="K40" s="34">
        <v>318</v>
      </c>
      <c r="L40" s="34" t="str">
        <f t="shared" si="2"/>
        <v>TC318</v>
      </c>
      <c r="M40" s="7" t="s">
        <v>120</v>
      </c>
      <c r="N40" s="27" t="s">
        <v>219</v>
      </c>
      <c r="O40" s="8"/>
      <c r="P40" s="8"/>
      <c r="Q40" s="8"/>
      <c r="R40" s="11"/>
      <c r="S40" s="9"/>
      <c r="T40" s="5"/>
      <c r="U40" s="9"/>
    </row>
    <row r="41" spans="1:21">
      <c r="A41" s="5">
        <f t="shared" si="1"/>
        <v>40</v>
      </c>
      <c r="B41" s="5" t="s">
        <v>29</v>
      </c>
      <c r="C41" s="19">
        <v>2</v>
      </c>
      <c r="D41" s="5" t="s">
        <v>8</v>
      </c>
      <c r="E41" s="5" t="s">
        <v>29</v>
      </c>
      <c r="F41" s="5" t="s">
        <v>168</v>
      </c>
      <c r="G41" s="32">
        <v>11</v>
      </c>
      <c r="H41" s="22" t="str">
        <f t="shared" si="3"/>
        <v>TC B 11</v>
      </c>
      <c r="I41" s="6"/>
      <c r="J41" s="5" t="s">
        <v>20</v>
      </c>
      <c r="K41" s="34">
        <v>326</v>
      </c>
      <c r="L41" s="34" t="str">
        <f t="shared" si="2"/>
        <v>TC326</v>
      </c>
      <c r="M41" s="7" t="s">
        <v>120</v>
      </c>
      <c r="N41" s="27" t="s">
        <v>220</v>
      </c>
      <c r="O41" s="8"/>
      <c r="P41" s="8"/>
      <c r="Q41" s="8"/>
      <c r="R41" s="11"/>
      <c r="S41" s="9"/>
      <c r="T41" s="5"/>
      <c r="U41" s="9"/>
    </row>
    <row r="42" spans="1:21">
      <c r="A42" s="5">
        <f t="shared" si="1"/>
        <v>41</v>
      </c>
      <c r="B42" s="5" t="s">
        <v>29</v>
      </c>
      <c r="C42" s="19">
        <v>2</v>
      </c>
      <c r="D42" s="5" t="s">
        <v>8</v>
      </c>
      <c r="E42" s="5" t="s">
        <v>29</v>
      </c>
      <c r="F42" s="5" t="s">
        <v>168</v>
      </c>
      <c r="G42" s="32">
        <v>12</v>
      </c>
      <c r="H42" s="22" t="str">
        <f t="shared" si="3"/>
        <v>TC B 12</v>
      </c>
      <c r="I42" s="6"/>
      <c r="J42" s="5" t="s">
        <v>20</v>
      </c>
      <c r="K42" s="34">
        <v>328</v>
      </c>
      <c r="L42" s="34" t="str">
        <f t="shared" si="2"/>
        <v>TC328</v>
      </c>
      <c r="M42" s="7" t="s">
        <v>120</v>
      </c>
      <c r="N42" s="27" t="s">
        <v>221</v>
      </c>
      <c r="O42" s="8"/>
      <c r="P42" s="8"/>
      <c r="Q42" s="8"/>
      <c r="R42" s="11"/>
      <c r="S42" s="9"/>
      <c r="T42" s="5"/>
      <c r="U42" s="9"/>
    </row>
    <row r="43" spans="1:21">
      <c r="A43" s="5">
        <f t="shared" si="1"/>
        <v>42</v>
      </c>
      <c r="B43" s="5" t="s">
        <v>29</v>
      </c>
      <c r="C43" s="19">
        <v>2</v>
      </c>
      <c r="D43" s="5" t="s">
        <v>8</v>
      </c>
      <c r="E43" s="5" t="s">
        <v>29</v>
      </c>
      <c r="F43" s="5" t="s">
        <v>168</v>
      </c>
      <c r="G43" s="32">
        <v>13</v>
      </c>
      <c r="H43" s="22" t="str">
        <f t="shared" si="3"/>
        <v>TC B 13</v>
      </c>
      <c r="I43" s="6"/>
      <c r="J43" s="5" t="s">
        <v>20</v>
      </c>
      <c r="K43" s="34">
        <v>348</v>
      </c>
      <c r="L43" s="34" t="str">
        <f t="shared" si="2"/>
        <v>TC348</v>
      </c>
      <c r="M43" s="7" t="s">
        <v>120</v>
      </c>
      <c r="N43" s="27" t="s">
        <v>173</v>
      </c>
      <c r="O43" s="8"/>
      <c r="P43" s="8"/>
      <c r="Q43" s="8"/>
      <c r="R43" s="11"/>
      <c r="S43" s="9"/>
      <c r="T43" s="5"/>
      <c r="U43" s="9"/>
    </row>
    <row r="44" spans="1:21">
      <c r="A44" s="5">
        <f t="shared" si="1"/>
        <v>43</v>
      </c>
      <c r="B44" s="5" t="s">
        <v>29</v>
      </c>
      <c r="C44" s="19">
        <v>2</v>
      </c>
      <c r="D44" s="5" t="s">
        <v>8</v>
      </c>
      <c r="E44" s="5" t="s">
        <v>29</v>
      </c>
      <c r="F44" s="5" t="s">
        <v>168</v>
      </c>
      <c r="G44" s="32">
        <v>14</v>
      </c>
      <c r="H44" s="22" t="str">
        <f t="shared" si="3"/>
        <v>TC B 14</v>
      </c>
      <c r="I44" s="6"/>
      <c r="J44" s="5" t="s">
        <v>20</v>
      </c>
      <c r="K44" s="34">
        <v>402</v>
      </c>
      <c r="L44" s="34" t="str">
        <f t="shared" si="2"/>
        <v>TC402</v>
      </c>
      <c r="M44" s="7" t="s">
        <v>120</v>
      </c>
      <c r="N44" s="27" t="s">
        <v>178</v>
      </c>
      <c r="O44" s="8"/>
      <c r="P44" s="8"/>
      <c r="Q44" s="8"/>
      <c r="R44" s="11"/>
      <c r="S44" s="9"/>
      <c r="T44" s="5"/>
      <c r="U44" s="9"/>
    </row>
    <row r="45" spans="1:21">
      <c r="A45" s="5">
        <f t="shared" si="1"/>
        <v>44</v>
      </c>
      <c r="B45" s="5" t="s">
        <v>29</v>
      </c>
      <c r="C45" s="19">
        <v>2</v>
      </c>
      <c r="D45" s="5" t="s">
        <v>8</v>
      </c>
      <c r="E45" s="5" t="s">
        <v>29</v>
      </c>
      <c r="F45" s="5" t="s">
        <v>168</v>
      </c>
      <c r="G45" s="32">
        <v>15</v>
      </c>
      <c r="H45" s="22" t="str">
        <f t="shared" si="3"/>
        <v>TC B 15</v>
      </c>
      <c r="I45" s="6"/>
      <c r="J45" s="5" t="s">
        <v>29</v>
      </c>
      <c r="K45" s="34">
        <v>403</v>
      </c>
      <c r="L45" s="34" t="str">
        <f t="shared" si="2"/>
        <v>TC403</v>
      </c>
      <c r="M45" s="7" t="s">
        <v>120</v>
      </c>
      <c r="N45" s="27" t="s">
        <v>179</v>
      </c>
      <c r="O45" s="8"/>
      <c r="P45" s="8"/>
      <c r="Q45" s="8"/>
      <c r="R45" s="11"/>
      <c r="S45" s="9"/>
      <c r="T45" s="5"/>
      <c r="U45" s="9"/>
    </row>
    <row r="46" spans="1:21">
      <c r="A46" s="5">
        <f t="shared" si="1"/>
        <v>45</v>
      </c>
      <c r="B46" s="5" t="s">
        <v>29</v>
      </c>
      <c r="C46" s="19">
        <v>2</v>
      </c>
      <c r="D46" s="5" t="s">
        <v>8</v>
      </c>
      <c r="E46" s="5" t="s">
        <v>29</v>
      </c>
      <c r="F46" s="5" t="s">
        <v>168</v>
      </c>
      <c r="G46" s="32">
        <v>16</v>
      </c>
      <c r="H46" s="22" t="str">
        <f t="shared" si="3"/>
        <v>TC B 16</v>
      </c>
      <c r="I46" s="6"/>
      <c r="J46" s="5" t="s">
        <v>20</v>
      </c>
      <c r="K46" s="34">
        <v>413</v>
      </c>
      <c r="L46" s="34" t="str">
        <f t="shared" si="2"/>
        <v>TC413</v>
      </c>
      <c r="M46" s="7" t="s">
        <v>120</v>
      </c>
      <c r="N46" s="27" t="s">
        <v>191</v>
      </c>
      <c r="O46" s="8"/>
      <c r="P46" s="8"/>
      <c r="Q46" s="8"/>
      <c r="R46" s="11"/>
      <c r="S46" s="9"/>
      <c r="T46" s="5"/>
      <c r="U46" s="9"/>
    </row>
    <row r="47" spans="1:21">
      <c r="A47" s="5">
        <f t="shared" si="1"/>
        <v>46</v>
      </c>
      <c r="B47" s="5" t="s">
        <v>29</v>
      </c>
      <c r="C47" s="19">
        <v>2</v>
      </c>
      <c r="D47" s="5" t="s">
        <v>8</v>
      </c>
      <c r="E47" s="5" t="s">
        <v>29</v>
      </c>
      <c r="F47" s="5" t="s">
        <v>168</v>
      </c>
      <c r="G47" s="32">
        <v>17</v>
      </c>
      <c r="H47" s="22" t="str">
        <f t="shared" si="3"/>
        <v>TC B 17</v>
      </c>
      <c r="I47" s="6"/>
      <c r="J47" s="5" t="s">
        <v>20</v>
      </c>
      <c r="K47" s="34">
        <v>425</v>
      </c>
      <c r="L47" s="34" t="str">
        <f t="shared" si="2"/>
        <v>TC425</v>
      </c>
      <c r="M47" s="7" t="s">
        <v>120</v>
      </c>
      <c r="N47" s="27" t="s">
        <v>190</v>
      </c>
      <c r="O47" s="8"/>
      <c r="P47" s="8"/>
      <c r="Q47" s="8"/>
      <c r="R47" s="11"/>
      <c r="S47" s="9"/>
      <c r="T47" s="5"/>
      <c r="U47" s="9"/>
    </row>
    <row r="48" spans="1:21">
      <c r="A48" s="5">
        <f t="shared" si="1"/>
        <v>47</v>
      </c>
      <c r="B48" s="5" t="s">
        <v>29</v>
      </c>
      <c r="C48" s="19">
        <v>2</v>
      </c>
      <c r="D48" s="5" t="s">
        <v>8</v>
      </c>
      <c r="E48" s="5" t="s">
        <v>29</v>
      </c>
      <c r="F48" s="5" t="s">
        <v>168</v>
      </c>
      <c r="G48" s="32">
        <v>18</v>
      </c>
      <c r="H48" s="22" t="str">
        <f t="shared" si="3"/>
        <v>TC B 18</v>
      </c>
      <c r="I48" s="6"/>
      <c r="J48" s="5" t="s">
        <v>20</v>
      </c>
      <c r="K48" s="34">
        <v>426</v>
      </c>
      <c r="L48" s="34" t="str">
        <f t="shared" si="2"/>
        <v>TC426</v>
      </c>
      <c r="M48" s="7" t="s">
        <v>120</v>
      </c>
      <c r="N48" s="27" t="s">
        <v>192</v>
      </c>
      <c r="O48" s="8"/>
      <c r="P48" s="8"/>
      <c r="Q48" s="8"/>
      <c r="R48" s="11"/>
      <c r="S48" s="9"/>
      <c r="T48" s="5"/>
      <c r="U48" s="9"/>
    </row>
    <row r="49" spans="1:21" s="73" customFormat="1" ht="17.25" thickBot="1">
      <c r="A49" s="67">
        <f t="shared" si="1"/>
        <v>48</v>
      </c>
      <c r="B49" s="67" t="s">
        <v>29</v>
      </c>
      <c r="C49" s="68">
        <v>2</v>
      </c>
      <c r="D49" s="67" t="s">
        <v>8</v>
      </c>
      <c r="E49" s="67" t="s">
        <v>29</v>
      </c>
      <c r="F49" s="67" t="s">
        <v>168</v>
      </c>
      <c r="G49" s="69">
        <v>19</v>
      </c>
      <c r="H49" s="70" t="str">
        <f t="shared" si="3"/>
        <v>TC B 19</v>
      </c>
      <c r="I49" s="186"/>
      <c r="J49" s="67" t="s">
        <v>20</v>
      </c>
      <c r="K49" s="76">
        <v>507</v>
      </c>
      <c r="L49" s="76" t="str">
        <f t="shared" si="2"/>
        <v>TC507</v>
      </c>
      <c r="M49" s="77" t="s">
        <v>120</v>
      </c>
      <c r="N49" s="78" t="s">
        <v>180</v>
      </c>
      <c r="O49" s="71"/>
      <c r="P49" s="71"/>
      <c r="Q49" s="71"/>
      <c r="R49" s="72"/>
      <c r="S49" s="72"/>
      <c r="T49" s="67"/>
      <c r="U49" s="72"/>
    </row>
    <row r="50" spans="1:21" s="143" customFormat="1" ht="17.25" thickTop="1">
      <c r="A50" s="185">
        <f t="shared" si="1"/>
        <v>49</v>
      </c>
      <c r="B50" s="187" t="s">
        <v>34</v>
      </c>
      <c r="C50" s="203" t="s">
        <v>261</v>
      </c>
      <c r="D50" s="185" t="s">
        <v>82</v>
      </c>
      <c r="E50" s="185" t="s">
        <v>34</v>
      </c>
      <c r="F50" s="185" t="s">
        <v>6</v>
      </c>
      <c r="G50" s="188">
        <v>0</v>
      </c>
      <c r="H50" s="189" t="str">
        <f t="shared" ref="H50:H77" si="4">E50&amp;" "&amp;F50&amp;" "&amp;G50</f>
        <v>AI A 0</v>
      </c>
      <c r="I50" s="201"/>
      <c r="J50" s="189" t="s">
        <v>24</v>
      </c>
      <c r="K50" s="143">
        <v>104</v>
      </c>
      <c r="L50" s="189" t="str">
        <f>$J50 &amp; $K50</f>
        <v>PT104</v>
      </c>
      <c r="M50" s="198"/>
      <c r="N50" s="197" t="s">
        <v>165</v>
      </c>
      <c r="O50" s="191"/>
      <c r="P50" s="191" t="s">
        <v>204</v>
      </c>
      <c r="Q50" s="191"/>
      <c r="R50" s="195" t="s">
        <v>258</v>
      </c>
      <c r="S50" s="193" t="s">
        <v>67</v>
      </c>
      <c r="T50" s="189" t="s">
        <v>202</v>
      </c>
      <c r="U50" s="192" t="s">
        <v>3</v>
      </c>
    </row>
    <row r="51" spans="1:21">
      <c r="A51" s="5">
        <f t="shared" si="1"/>
        <v>50</v>
      </c>
      <c r="B51" s="5" t="s">
        <v>34</v>
      </c>
      <c r="C51" s="19">
        <v>4</v>
      </c>
      <c r="D51" s="5" t="s">
        <v>82</v>
      </c>
      <c r="E51" s="5" t="s">
        <v>34</v>
      </c>
      <c r="F51" s="5" t="s">
        <v>6</v>
      </c>
      <c r="G51" s="32">
        <v>1</v>
      </c>
      <c r="H51" s="22" t="str">
        <f t="shared" si="4"/>
        <v>AI A 1</v>
      </c>
      <c r="I51" s="6"/>
      <c r="J51" s="36" t="s">
        <v>24</v>
      </c>
      <c r="K51" s="35">
        <v>110</v>
      </c>
      <c r="L51" s="35" t="str">
        <f>$J51 &amp; $K51</f>
        <v>PT110</v>
      </c>
      <c r="M51" s="7"/>
      <c r="N51" s="30" t="s">
        <v>167</v>
      </c>
      <c r="O51" s="8"/>
      <c r="P51" s="90" t="s">
        <v>205</v>
      </c>
      <c r="Q51" s="205" t="s">
        <v>272</v>
      </c>
      <c r="R51" s="11" t="s">
        <v>144</v>
      </c>
      <c r="S51" s="9" t="s">
        <v>67</v>
      </c>
      <c r="T51" s="57" t="s">
        <v>202</v>
      </c>
      <c r="U51" s="9" t="s">
        <v>3</v>
      </c>
    </row>
    <row r="52" spans="1:21">
      <c r="A52" s="5">
        <f t="shared" si="1"/>
        <v>51</v>
      </c>
      <c r="B52" s="5" t="s">
        <v>34</v>
      </c>
      <c r="C52" s="19">
        <v>4</v>
      </c>
      <c r="D52" s="5" t="s">
        <v>82</v>
      </c>
      <c r="E52" s="5" t="s">
        <v>34</v>
      </c>
      <c r="F52" s="5" t="s">
        <v>6</v>
      </c>
      <c r="G52" s="32">
        <v>2</v>
      </c>
      <c r="H52" s="22" t="str">
        <f t="shared" si="4"/>
        <v>AI A 2</v>
      </c>
      <c r="I52" s="6"/>
      <c r="J52" s="36" t="s">
        <v>24</v>
      </c>
      <c r="K52" s="35">
        <v>124</v>
      </c>
      <c r="L52" s="35" t="str">
        <f t="shared" si="2"/>
        <v>PT124</v>
      </c>
      <c r="M52" s="7"/>
      <c r="N52" s="30" t="s">
        <v>134</v>
      </c>
      <c r="O52" s="8"/>
      <c r="P52" s="90" t="s">
        <v>205</v>
      </c>
      <c r="Q52" s="205" t="s">
        <v>273</v>
      </c>
      <c r="R52" s="11" t="s">
        <v>144</v>
      </c>
      <c r="S52" s="9" t="s">
        <v>67</v>
      </c>
      <c r="T52" s="57" t="s">
        <v>202</v>
      </c>
      <c r="U52" s="9" t="s">
        <v>3</v>
      </c>
    </row>
    <row r="53" spans="1:21">
      <c r="A53" s="5">
        <f t="shared" si="1"/>
        <v>52</v>
      </c>
      <c r="B53" s="5" t="s">
        <v>34</v>
      </c>
      <c r="C53" s="19">
        <v>4</v>
      </c>
      <c r="D53" s="5" t="s">
        <v>82</v>
      </c>
      <c r="E53" s="5" t="s">
        <v>34</v>
      </c>
      <c r="F53" s="5" t="s">
        <v>6</v>
      </c>
      <c r="G53" s="32">
        <v>3</v>
      </c>
      <c r="H53" s="22" t="str">
        <f t="shared" si="4"/>
        <v>AI A 3</v>
      </c>
      <c r="I53" s="6"/>
      <c r="J53" s="36" t="s">
        <v>24</v>
      </c>
      <c r="K53" s="35">
        <v>134</v>
      </c>
      <c r="L53" s="35" t="str">
        <f t="shared" si="2"/>
        <v>PT134</v>
      </c>
      <c r="M53" s="7"/>
      <c r="N53" s="30" t="s">
        <v>135</v>
      </c>
      <c r="O53" s="8"/>
      <c r="P53" s="90" t="s">
        <v>205</v>
      </c>
      <c r="Q53" s="205" t="s">
        <v>274</v>
      </c>
      <c r="R53" s="11" t="s">
        <v>144</v>
      </c>
      <c r="S53" s="9" t="s">
        <v>67</v>
      </c>
      <c r="T53" s="57" t="s">
        <v>202</v>
      </c>
      <c r="U53" s="9" t="s">
        <v>3</v>
      </c>
    </row>
    <row r="54" spans="1:21">
      <c r="A54" s="5">
        <f t="shared" si="1"/>
        <v>53</v>
      </c>
      <c r="B54" s="5" t="s">
        <v>34</v>
      </c>
      <c r="C54" s="19">
        <v>4</v>
      </c>
      <c r="D54" s="5" t="s">
        <v>82</v>
      </c>
      <c r="E54" s="5" t="s">
        <v>34</v>
      </c>
      <c r="F54" s="5" t="s">
        <v>6</v>
      </c>
      <c r="G54" s="32">
        <v>4</v>
      </c>
      <c r="H54" s="22" t="str">
        <f t="shared" si="4"/>
        <v>AI A 4</v>
      </c>
      <c r="I54" s="6"/>
      <c r="J54" s="36" t="s">
        <v>24</v>
      </c>
      <c r="K54" s="35">
        <v>145</v>
      </c>
      <c r="L54" s="35" t="str">
        <f t="shared" si="2"/>
        <v>PT145</v>
      </c>
      <c r="M54" s="7"/>
      <c r="N54" s="30" t="s">
        <v>136</v>
      </c>
      <c r="O54" s="8"/>
      <c r="P54" s="90" t="s">
        <v>211</v>
      </c>
      <c r="Q54" s="90"/>
      <c r="R54" s="11" t="s">
        <v>144</v>
      </c>
      <c r="S54" s="9" t="s">
        <v>67</v>
      </c>
      <c r="T54" s="57" t="s">
        <v>202</v>
      </c>
      <c r="U54" s="9" t="s">
        <v>3</v>
      </c>
    </row>
    <row r="55" spans="1:21">
      <c r="A55" s="5">
        <f t="shared" si="1"/>
        <v>54</v>
      </c>
      <c r="B55" s="5" t="s">
        <v>34</v>
      </c>
      <c r="C55" s="19">
        <v>4</v>
      </c>
      <c r="D55" s="5" t="s">
        <v>82</v>
      </c>
      <c r="E55" s="5" t="s">
        <v>34</v>
      </c>
      <c r="F55" s="5" t="s">
        <v>6</v>
      </c>
      <c r="G55" s="32">
        <v>5</v>
      </c>
      <c r="H55" s="22" t="str">
        <f t="shared" si="4"/>
        <v>AI A 5</v>
      </c>
      <c r="I55" s="6"/>
      <c r="J55" s="36" t="s">
        <v>24</v>
      </c>
      <c r="K55" s="35">
        <v>153</v>
      </c>
      <c r="L55" s="35" t="str">
        <f t="shared" ref="L55:L89" si="5">$J55 &amp; $K55</f>
        <v>PT153</v>
      </c>
      <c r="M55" s="7"/>
      <c r="N55" s="30" t="s">
        <v>185</v>
      </c>
      <c r="O55" s="8"/>
      <c r="P55" s="90" t="s">
        <v>208</v>
      </c>
      <c r="Q55" s="90"/>
      <c r="R55" s="11" t="s">
        <v>144</v>
      </c>
      <c r="S55" s="9" t="s">
        <v>67</v>
      </c>
      <c r="T55" s="57" t="s">
        <v>202</v>
      </c>
      <c r="U55" s="9" t="s">
        <v>3</v>
      </c>
    </row>
    <row r="56" spans="1:21">
      <c r="A56" s="5">
        <f t="shared" si="1"/>
        <v>55</v>
      </c>
      <c r="B56" s="5" t="s">
        <v>34</v>
      </c>
      <c r="C56" s="19">
        <v>4</v>
      </c>
      <c r="D56" s="5" t="s">
        <v>82</v>
      </c>
      <c r="E56" s="5" t="s">
        <v>34</v>
      </c>
      <c r="F56" s="5" t="s">
        <v>6</v>
      </c>
      <c r="G56" s="32">
        <v>6</v>
      </c>
      <c r="H56" s="22" t="str">
        <f t="shared" si="4"/>
        <v>AI A 6</v>
      </c>
      <c r="I56" s="6"/>
      <c r="J56" s="5" t="s">
        <v>184</v>
      </c>
      <c r="K56" s="35">
        <v>154</v>
      </c>
      <c r="L56" s="35" t="str">
        <f t="shared" si="5"/>
        <v>PT154</v>
      </c>
      <c r="M56" s="7" t="s">
        <v>187</v>
      </c>
      <c r="N56" s="30" t="s">
        <v>186</v>
      </c>
      <c r="O56" s="8"/>
      <c r="P56" s="90" t="s">
        <v>208</v>
      </c>
      <c r="Q56" s="90"/>
      <c r="R56" s="11" t="s">
        <v>144</v>
      </c>
      <c r="S56" s="9" t="s">
        <v>67</v>
      </c>
      <c r="T56" s="57" t="s">
        <v>202</v>
      </c>
      <c r="U56" s="9" t="s">
        <v>3</v>
      </c>
    </row>
    <row r="57" spans="1:21">
      <c r="A57" s="5">
        <f t="shared" si="1"/>
        <v>56</v>
      </c>
      <c r="B57" s="5" t="s">
        <v>34</v>
      </c>
      <c r="C57" s="19">
        <v>4</v>
      </c>
      <c r="D57" s="5" t="s">
        <v>82</v>
      </c>
      <c r="E57" s="5" t="s">
        <v>34</v>
      </c>
      <c r="F57" s="5" t="s">
        <v>6</v>
      </c>
      <c r="G57" s="32">
        <v>7</v>
      </c>
      <c r="H57" s="22" t="str">
        <f t="shared" si="4"/>
        <v>AI A 7</v>
      </c>
      <c r="I57" s="6"/>
      <c r="J57" s="5" t="s">
        <v>24</v>
      </c>
      <c r="K57" s="35">
        <v>175</v>
      </c>
      <c r="L57" s="35" t="str">
        <f t="shared" si="5"/>
        <v>PT175</v>
      </c>
      <c r="M57" s="7"/>
      <c r="N57" s="30" t="s">
        <v>137</v>
      </c>
      <c r="O57" s="8"/>
      <c r="P57" s="90" t="s">
        <v>205</v>
      </c>
      <c r="Q57" s="205" t="s">
        <v>274</v>
      </c>
      <c r="R57" s="11" t="s">
        <v>144</v>
      </c>
      <c r="S57" s="9" t="s">
        <v>67</v>
      </c>
      <c r="T57" s="57" t="s">
        <v>202</v>
      </c>
      <c r="U57" s="9" t="s">
        <v>3</v>
      </c>
    </row>
    <row r="58" spans="1:21" s="143" customFormat="1">
      <c r="A58" s="90">
        <f t="shared" si="1"/>
        <v>57</v>
      </c>
      <c r="B58" s="148" t="s">
        <v>34</v>
      </c>
      <c r="C58" s="202" t="s">
        <v>261</v>
      </c>
      <c r="D58" s="90" t="s">
        <v>82</v>
      </c>
      <c r="E58" s="143" t="s">
        <v>34</v>
      </c>
      <c r="F58" s="90" t="s">
        <v>6</v>
      </c>
      <c r="G58" s="190">
        <v>8</v>
      </c>
      <c r="H58" s="90" t="str">
        <f t="shared" si="4"/>
        <v>AI A 8</v>
      </c>
      <c r="I58" s="200"/>
      <c r="J58" s="90" t="s">
        <v>62</v>
      </c>
      <c r="K58" s="152">
        <v>211</v>
      </c>
      <c r="L58" s="143" t="str">
        <f t="shared" si="5"/>
        <v>FM211</v>
      </c>
      <c r="M58" s="199"/>
      <c r="N58" s="196" t="s">
        <v>237</v>
      </c>
      <c r="O58" s="90" t="s">
        <v>277</v>
      </c>
      <c r="P58" s="150" t="s">
        <v>209</v>
      </c>
      <c r="Q58" s="90"/>
      <c r="R58" s="194" t="s">
        <v>259</v>
      </c>
      <c r="S58" s="38" t="s">
        <v>68</v>
      </c>
      <c r="T58" s="90" t="s">
        <v>202</v>
      </c>
      <c r="U58" s="184" t="s">
        <v>3</v>
      </c>
    </row>
    <row r="59" spans="1:21">
      <c r="A59" s="5">
        <f t="shared" si="1"/>
        <v>58</v>
      </c>
      <c r="B59" s="5" t="s">
        <v>34</v>
      </c>
      <c r="C59" s="19">
        <v>4</v>
      </c>
      <c r="D59" s="5" t="s">
        <v>82</v>
      </c>
      <c r="E59" s="5" t="s">
        <v>34</v>
      </c>
      <c r="F59" s="5" t="s">
        <v>6</v>
      </c>
      <c r="G59" s="32">
        <v>9</v>
      </c>
      <c r="H59" s="22" t="str">
        <f t="shared" si="4"/>
        <v>AI A 9</v>
      </c>
      <c r="I59" s="6"/>
      <c r="J59" s="36" t="s">
        <v>62</v>
      </c>
      <c r="K59" s="35">
        <v>231</v>
      </c>
      <c r="L59" s="35" t="str">
        <f t="shared" si="5"/>
        <v>FM231</v>
      </c>
      <c r="M59" s="7"/>
      <c r="N59" s="30" t="s">
        <v>138</v>
      </c>
      <c r="O59" s="8"/>
      <c r="P59" s="90" t="s">
        <v>210</v>
      </c>
      <c r="Q59" s="90"/>
      <c r="R59" s="11" t="s">
        <v>203</v>
      </c>
      <c r="S59" s="9" t="s">
        <v>68</v>
      </c>
      <c r="T59" s="57" t="s">
        <v>202</v>
      </c>
      <c r="U59" s="9" t="s">
        <v>3</v>
      </c>
    </row>
    <row r="60" spans="1:21">
      <c r="A60" s="5">
        <f t="shared" si="1"/>
        <v>59</v>
      </c>
      <c r="B60" s="5" t="s">
        <v>34</v>
      </c>
      <c r="C60" s="19">
        <v>4</v>
      </c>
      <c r="D60" s="5" t="s">
        <v>82</v>
      </c>
      <c r="E60" s="5" t="s">
        <v>34</v>
      </c>
      <c r="F60" s="5" t="s">
        <v>6</v>
      </c>
      <c r="G60" s="16">
        <v>10</v>
      </c>
      <c r="H60" s="22" t="str">
        <f t="shared" si="4"/>
        <v>AI A 10</v>
      </c>
      <c r="I60" s="6"/>
      <c r="J60" s="36" t="s">
        <v>62</v>
      </c>
      <c r="K60" s="35">
        <v>241</v>
      </c>
      <c r="L60" s="35" t="str">
        <f t="shared" si="5"/>
        <v>FM241</v>
      </c>
      <c r="M60" s="7"/>
      <c r="N60" s="26" t="s">
        <v>139</v>
      </c>
      <c r="O60" s="8"/>
      <c r="P60" s="90" t="s">
        <v>209</v>
      </c>
      <c r="Q60" s="150"/>
      <c r="R60" s="11" t="s">
        <v>213</v>
      </c>
      <c r="S60" s="9" t="s">
        <v>68</v>
      </c>
      <c r="T60" s="57" t="s">
        <v>202</v>
      </c>
      <c r="U60" s="9" t="s">
        <v>3</v>
      </c>
    </row>
    <row r="61" spans="1:21">
      <c r="A61" s="5">
        <f t="shared" si="1"/>
        <v>60</v>
      </c>
      <c r="B61" s="5" t="s">
        <v>34</v>
      </c>
      <c r="C61" s="19">
        <v>4</v>
      </c>
      <c r="D61" s="5" t="s">
        <v>82</v>
      </c>
      <c r="E61" s="5" t="s">
        <v>34</v>
      </c>
      <c r="F61" s="5" t="s">
        <v>6</v>
      </c>
      <c r="G61" s="16">
        <v>11</v>
      </c>
      <c r="H61" s="22" t="str">
        <f t="shared" si="4"/>
        <v>AI A 11</v>
      </c>
      <c r="I61" s="6"/>
      <c r="J61" s="36" t="s">
        <v>23</v>
      </c>
      <c r="K61" s="35">
        <v>302</v>
      </c>
      <c r="L61" s="35" t="str">
        <f t="shared" si="5"/>
        <v>CS302</v>
      </c>
      <c r="M61" s="45"/>
      <c r="N61" s="26" t="s">
        <v>140</v>
      </c>
      <c r="O61" s="44"/>
      <c r="P61" s="90" t="s">
        <v>207</v>
      </c>
      <c r="Q61" s="90"/>
      <c r="R61" s="11" t="s">
        <v>212</v>
      </c>
      <c r="S61" s="9" t="s">
        <v>145</v>
      </c>
      <c r="T61" s="57" t="s">
        <v>202</v>
      </c>
      <c r="U61" s="9" t="s">
        <v>3</v>
      </c>
    </row>
    <row r="62" spans="1:21">
      <c r="A62" s="5">
        <f t="shared" si="1"/>
        <v>61</v>
      </c>
      <c r="B62" s="5" t="s">
        <v>34</v>
      </c>
      <c r="C62" s="19">
        <v>4</v>
      </c>
      <c r="D62" s="5" t="s">
        <v>82</v>
      </c>
      <c r="E62" s="5" t="s">
        <v>34</v>
      </c>
      <c r="F62" s="5" t="s">
        <v>6</v>
      </c>
      <c r="G62" s="16">
        <v>12</v>
      </c>
      <c r="H62" s="22" t="str">
        <f t="shared" si="4"/>
        <v>AI A 12</v>
      </c>
      <c r="I62" s="6"/>
      <c r="J62" s="5" t="s">
        <v>24</v>
      </c>
      <c r="K62" s="35">
        <v>315</v>
      </c>
      <c r="L62" s="35" t="str">
        <f t="shared" si="5"/>
        <v>PT315</v>
      </c>
      <c r="M62" s="7"/>
      <c r="N62" s="26" t="s">
        <v>166</v>
      </c>
      <c r="O62" s="8"/>
      <c r="P62" s="90" t="s">
        <v>208</v>
      </c>
      <c r="Q62" s="90"/>
      <c r="R62" s="11" t="s">
        <v>143</v>
      </c>
      <c r="S62" s="9" t="s">
        <v>67</v>
      </c>
      <c r="T62" s="57" t="s">
        <v>202</v>
      </c>
      <c r="U62" s="9" t="s">
        <v>3</v>
      </c>
    </row>
    <row r="63" spans="1:21">
      <c r="A63" s="5">
        <f t="shared" si="1"/>
        <v>62</v>
      </c>
      <c r="B63" s="5" t="s">
        <v>34</v>
      </c>
      <c r="C63" s="19">
        <v>4</v>
      </c>
      <c r="D63" s="5" t="s">
        <v>82</v>
      </c>
      <c r="E63" s="5" t="s">
        <v>34</v>
      </c>
      <c r="F63" s="5" t="s">
        <v>6</v>
      </c>
      <c r="G63" s="16">
        <v>13</v>
      </c>
      <c r="H63" s="22" t="str">
        <f t="shared" si="4"/>
        <v>AI A 13</v>
      </c>
      <c r="I63" s="6"/>
      <c r="J63" s="5" t="s">
        <v>24</v>
      </c>
      <c r="K63" s="35">
        <v>325</v>
      </c>
      <c r="L63" s="35" t="str">
        <f t="shared" si="5"/>
        <v>PT325</v>
      </c>
      <c r="M63" s="7"/>
      <c r="N63" s="26" t="s">
        <v>142</v>
      </c>
      <c r="O63" s="8"/>
      <c r="P63" s="90" t="s">
        <v>208</v>
      </c>
      <c r="Q63" s="90"/>
      <c r="R63" s="11" t="s">
        <v>143</v>
      </c>
      <c r="S63" s="9" t="s">
        <v>67</v>
      </c>
      <c r="T63" s="57" t="s">
        <v>202</v>
      </c>
      <c r="U63" s="9" t="s">
        <v>3</v>
      </c>
    </row>
    <row r="64" spans="1:21">
      <c r="A64" s="5">
        <f t="shared" si="1"/>
        <v>63</v>
      </c>
      <c r="B64" s="5" t="s">
        <v>34</v>
      </c>
      <c r="C64" s="19">
        <v>4</v>
      </c>
      <c r="D64" s="5" t="s">
        <v>82</v>
      </c>
      <c r="E64" s="5" t="s">
        <v>34</v>
      </c>
      <c r="F64" s="5" t="s">
        <v>6</v>
      </c>
      <c r="G64" s="16">
        <v>14</v>
      </c>
      <c r="H64" s="22" t="str">
        <f t="shared" si="4"/>
        <v>AI A 14</v>
      </c>
      <c r="I64" s="6"/>
      <c r="J64" s="5" t="s">
        <v>24</v>
      </c>
      <c r="K64" s="35">
        <v>335</v>
      </c>
      <c r="L64" s="35" t="str">
        <f t="shared" si="5"/>
        <v>PT335</v>
      </c>
      <c r="M64" s="7"/>
      <c r="N64" s="26" t="s">
        <v>141</v>
      </c>
      <c r="O64" s="8"/>
      <c r="P64" s="90" t="s">
        <v>206</v>
      </c>
      <c r="Q64" s="90"/>
      <c r="R64" s="11" t="s">
        <v>164</v>
      </c>
      <c r="S64" s="9" t="s">
        <v>67</v>
      </c>
      <c r="T64" s="57" t="s">
        <v>202</v>
      </c>
      <c r="U64" s="9" t="s">
        <v>3</v>
      </c>
    </row>
    <row r="65" spans="1:21" s="73" customFormat="1" ht="17.25" thickBot="1">
      <c r="A65" s="67">
        <f t="shared" si="1"/>
        <v>64</v>
      </c>
      <c r="B65" s="67" t="s">
        <v>34</v>
      </c>
      <c r="C65" s="68">
        <v>4</v>
      </c>
      <c r="D65" s="67" t="s">
        <v>82</v>
      </c>
      <c r="E65" s="67" t="s">
        <v>34</v>
      </c>
      <c r="F65" s="67" t="s">
        <v>6</v>
      </c>
      <c r="G65" s="82">
        <v>15</v>
      </c>
      <c r="H65" s="70" t="str">
        <f t="shared" si="4"/>
        <v>AI A 15</v>
      </c>
      <c r="I65" s="75"/>
      <c r="J65" s="67" t="s">
        <v>23</v>
      </c>
      <c r="K65" s="67">
        <v>347</v>
      </c>
      <c r="L65" s="83" t="str">
        <f t="shared" si="5"/>
        <v>CS347</v>
      </c>
      <c r="M65" s="77"/>
      <c r="N65" s="71" t="s">
        <v>175</v>
      </c>
      <c r="O65" s="71"/>
      <c r="P65" s="91" t="s">
        <v>207</v>
      </c>
      <c r="Q65" s="90"/>
      <c r="R65" s="85" t="s">
        <v>212</v>
      </c>
      <c r="S65" s="72" t="s">
        <v>145</v>
      </c>
      <c r="T65" s="86" t="s">
        <v>202</v>
      </c>
      <c r="U65" s="92" t="s">
        <v>3</v>
      </c>
    </row>
    <row r="66" spans="1:21" ht="17.25" customHeight="1" thickTop="1">
      <c r="A66" s="57">
        <f t="shared" si="1"/>
        <v>65</v>
      </c>
      <c r="B66" s="57" t="s">
        <v>5</v>
      </c>
      <c r="C66" s="58">
        <v>6</v>
      </c>
      <c r="D66" s="57" t="s">
        <v>0</v>
      </c>
      <c r="E66" s="57" t="s">
        <v>5</v>
      </c>
      <c r="F66" s="57" t="s">
        <v>6</v>
      </c>
      <c r="G66" s="79" t="s">
        <v>47</v>
      </c>
      <c r="H66" s="60" t="str">
        <f t="shared" si="4"/>
        <v>AO A 00</v>
      </c>
      <c r="I66" s="61"/>
      <c r="J66" s="127" t="s">
        <v>21</v>
      </c>
      <c r="K66" s="107">
        <v>212</v>
      </c>
      <c r="L66" s="110" t="str">
        <f t="shared" si="5"/>
        <v>AB212</v>
      </c>
      <c r="M66" s="97" t="s">
        <v>223</v>
      </c>
      <c r="N66" s="98" t="s">
        <v>263</v>
      </c>
      <c r="O66" s="64"/>
      <c r="P66" s="29" t="s">
        <v>253</v>
      </c>
      <c r="Q66" s="90"/>
      <c r="R66" s="65"/>
      <c r="S66" s="66"/>
      <c r="T66" s="89" t="s">
        <v>7</v>
      </c>
      <c r="U66" s="66" t="s">
        <v>3</v>
      </c>
    </row>
    <row r="67" spans="1:21">
      <c r="A67" s="5">
        <f t="shared" si="1"/>
        <v>66</v>
      </c>
      <c r="B67" s="5" t="s">
        <v>5</v>
      </c>
      <c r="C67" s="19">
        <v>6</v>
      </c>
      <c r="D67" s="5" t="s">
        <v>0</v>
      </c>
      <c r="E67" s="5" t="s">
        <v>5</v>
      </c>
      <c r="F67" s="5" t="s">
        <v>6</v>
      </c>
      <c r="G67" s="16" t="s">
        <v>48</v>
      </c>
      <c r="H67" s="22" t="str">
        <f t="shared" si="4"/>
        <v>AO A 01</v>
      </c>
      <c r="I67" s="6"/>
      <c r="J67" s="109" t="s">
        <v>188</v>
      </c>
      <c r="K67" s="109">
        <v>312</v>
      </c>
      <c r="L67" s="110" t="str">
        <f t="shared" si="5"/>
        <v>P312</v>
      </c>
      <c r="M67" s="99" t="s">
        <v>233</v>
      </c>
      <c r="N67" s="8" t="s">
        <v>146</v>
      </c>
      <c r="O67" s="8"/>
      <c r="P67" s="29" t="s">
        <v>216</v>
      </c>
      <c r="Q67" s="91"/>
      <c r="R67" s="11"/>
      <c r="S67" s="9"/>
      <c r="T67" s="33" t="s">
        <v>7</v>
      </c>
      <c r="U67" s="9" t="s">
        <v>3</v>
      </c>
    </row>
    <row r="68" spans="1:21">
      <c r="A68" s="5">
        <f t="shared" si="1"/>
        <v>67</v>
      </c>
      <c r="B68" s="5" t="s">
        <v>5</v>
      </c>
      <c r="C68" s="19">
        <v>6</v>
      </c>
      <c r="D68" s="5" t="s">
        <v>0</v>
      </c>
      <c r="E68" s="5" t="s">
        <v>5</v>
      </c>
      <c r="F68" s="5" t="s">
        <v>6</v>
      </c>
      <c r="G68" s="16" t="s">
        <v>39</v>
      </c>
      <c r="H68" s="22" t="str">
        <f t="shared" si="4"/>
        <v>AO A 02</v>
      </c>
      <c r="I68" s="6"/>
      <c r="J68" s="128" t="s">
        <v>22</v>
      </c>
      <c r="K68" s="109">
        <v>322</v>
      </c>
      <c r="L68" s="108" t="str">
        <f t="shared" si="5"/>
        <v>P322</v>
      </c>
      <c r="M68" s="99" t="s">
        <v>223</v>
      </c>
      <c r="N68" s="30" t="s">
        <v>147</v>
      </c>
      <c r="O68" s="8"/>
      <c r="P68" s="29" t="s">
        <v>254</v>
      </c>
      <c r="Q68" s="81"/>
      <c r="R68" s="11"/>
      <c r="S68" s="9"/>
      <c r="T68" s="33" t="s">
        <v>7</v>
      </c>
      <c r="U68" s="9" t="s">
        <v>3</v>
      </c>
    </row>
    <row r="69" spans="1:21">
      <c r="A69" s="5">
        <f t="shared" ref="A69:A132" si="6">IF($H69="","",ROW()-1)</f>
        <v>68</v>
      </c>
      <c r="B69" s="5" t="s">
        <v>5</v>
      </c>
      <c r="C69" s="19">
        <v>6</v>
      </c>
      <c r="D69" s="5" t="s">
        <v>0</v>
      </c>
      <c r="E69" s="5" t="s">
        <v>5</v>
      </c>
      <c r="F69" s="5" t="s">
        <v>6</v>
      </c>
      <c r="G69" s="16" t="s">
        <v>40</v>
      </c>
      <c r="H69" s="22" t="str">
        <f t="shared" si="4"/>
        <v>AO A 03</v>
      </c>
      <c r="I69" s="6"/>
      <c r="J69" s="109"/>
      <c r="K69" s="110"/>
      <c r="L69" s="110" t="str">
        <f t="shared" si="5"/>
        <v/>
      </c>
      <c r="M69" s="42"/>
      <c r="N69" s="8"/>
      <c r="O69" s="8"/>
      <c r="P69" s="29"/>
      <c r="Q69" s="29"/>
      <c r="R69" s="11"/>
      <c r="S69" s="9"/>
      <c r="T69" s="33"/>
      <c r="U69" s="9"/>
    </row>
    <row r="70" spans="1:21">
      <c r="A70" s="5">
        <f t="shared" si="6"/>
        <v>69</v>
      </c>
      <c r="B70" s="5" t="s">
        <v>5</v>
      </c>
      <c r="C70" s="19">
        <v>6</v>
      </c>
      <c r="D70" s="5" t="s">
        <v>0</v>
      </c>
      <c r="E70" s="5" t="s">
        <v>5</v>
      </c>
      <c r="F70" s="5" t="s">
        <v>6</v>
      </c>
      <c r="G70" s="16" t="s">
        <v>41</v>
      </c>
      <c r="H70" s="22" t="str">
        <f t="shared" si="4"/>
        <v>AO A 04</v>
      </c>
      <c r="I70" s="6"/>
      <c r="J70" s="109" t="s">
        <v>22</v>
      </c>
      <c r="K70" s="110">
        <v>432</v>
      </c>
      <c r="L70" s="110" t="str">
        <f t="shared" si="5"/>
        <v>P432</v>
      </c>
      <c r="M70" s="42" t="s">
        <v>233</v>
      </c>
      <c r="N70" s="8" t="s">
        <v>197</v>
      </c>
      <c r="O70" s="8"/>
      <c r="P70" s="29" t="s">
        <v>236</v>
      </c>
      <c r="Q70" s="29"/>
      <c r="R70" s="11"/>
      <c r="S70" s="9"/>
      <c r="T70" s="33" t="s">
        <v>7</v>
      </c>
      <c r="U70" s="9" t="s">
        <v>3</v>
      </c>
    </row>
    <row r="71" spans="1:21">
      <c r="A71" s="5">
        <f t="shared" si="6"/>
        <v>70</v>
      </c>
      <c r="B71" s="5" t="s">
        <v>5</v>
      </c>
      <c r="C71" s="19">
        <v>6</v>
      </c>
      <c r="D71" s="5" t="s">
        <v>0</v>
      </c>
      <c r="E71" s="5" t="s">
        <v>5</v>
      </c>
      <c r="F71" s="5" t="s">
        <v>6</v>
      </c>
      <c r="G71" s="16" t="s">
        <v>42</v>
      </c>
      <c r="H71" s="22" t="str">
        <f t="shared" si="4"/>
        <v>AO A 05</v>
      </c>
      <c r="I71" s="6"/>
      <c r="J71" s="109" t="s">
        <v>22</v>
      </c>
      <c r="K71" s="110">
        <v>442</v>
      </c>
      <c r="L71" s="110" t="str">
        <f t="shared" si="5"/>
        <v>P442</v>
      </c>
      <c r="M71" s="42" t="s">
        <v>233</v>
      </c>
      <c r="N71" s="41" t="s">
        <v>148</v>
      </c>
      <c r="O71" s="8"/>
      <c r="P71" s="29" t="s">
        <v>255</v>
      </c>
      <c r="Q71" s="29"/>
      <c r="R71" s="11"/>
      <c r="S71" s="9"/>
      <c r="T71" s="33" t="s">
        <v>7</v>
      </c>
      <c r="U71" s="9" t="s">
        <v>3</v>
      </c>
    </row>
    <row r="72" spans="1:21">
      <c r="A72" s="5">
        <f t="shared" si="6"/>
        <v>71</v>
      </c>
      <c r="B72" s="5" t="s">
        <v>5</v>
      </c>
      <c r="C72" s="19">
        <v>6</v>
      </c>
      <c r="D72" s="5" t="s">
        <v>0</v>
      </c>
      <c r="E72" s="5" t="s">
        <v>5</v>
      </c>
      <c r="F72" s="5" t="s">
        <v>6</v>
      </c>
      <c r="G72" s="16" t="s">
        <v>43</v>
      </c>
      <c r="H72" s="22" t="str">
        <f t="shared" si="4"/>
        <v>AO A 06</v>
      </c>
      <c r="I72" s="6"/>
      <c r="J72" s="121"/>
      <c r="K72" s="110"/>
      <c r="L72" s="108" t="str">
        <f t="shared" si="5"/>
        <v/>
      </c>
      <c r="M72" s="99"/>
      <c r="N72" s="100"/>
      <c r="O72" s="101"/>
      <c r="P72" s="101"/>
      <c r="Q72" s="29"/>
      <c r="R72" s="11"/>
      <c r="S72" s="9"/>
      <c r="T72" s="33"/>
      <c r="U72" s="9"/>
    </row>
    <row r="73" spans="1:21">
      <c r="A73" s="5">
        <f t="shared" si="6"/>
        <v>72</v>
      </c>
      <c r="B73" s="5" t="s">
        <v>5</v>
      </c>
      <c r="C73" s="19">
        <v>6</v>
      </c>
      <c r="D73" s="5" t="s">
        <v>0</v>
      </c>
      <c r="E73" s="5" t="s">
        <v>5</v>
      </c>
      <c r="F73" s="5" t="s">
        <v>6</v>
      </c>
      <c r="G73" s="16" t="s">
        <v>44</v>
      </c>
      <c r="H73" s="22" t="str">
        <f t="shared" si="4"/>
        <v>AO A 07</v>
      </c>
      <c r="I73" s="6"/>
      <c r="J73" s="126" t="s">
        <v>239</v>
      </c>
      <c r="K73" s="126" t="s">
        <v>240</v>
      </c>
      <c r="L73" s="110" t="str">
        <f t="shared" si="5"/>
        <v>INVADJ</v>
      </c>
      <c r="M73" s="102" t="s">
        <v>224</v>
      </c>
      <c r="N73" s="41" t="s">
        <v>238</v>
      </c>
      <c r="O73" s="103"/>
      <c r="P73" s="29"/>
      <c r="Q73" s="29"/>
      <c r="R73" s="11"/>
      <c r="S73" s="9"/>
      <c r="T73" s="33" t="s">
        <v>7</v>
      </c>
      <c r="U73" s="9" t="s">
        <v>3</v>
      </c>
    </row>
    <row r="74" spans="1:21" ht="16.5" customHeight="1">
      <c r="A74" s="5">
        <f t="shared" si="6"/>
        <v>73</v>
      </c>
      <c r="B74" s="5" t="s">
        <v>5</v>
      </c>
      <c r="C74" s="19">
        <v>6</v>
      </c>
      <c r="D74" s="5" t="s">
        <v>0</v>
      </c>
      <c r="E74" s="5" t="s">
        <v>5</v>
      </c>
      <c r="F74" s="5" t="s">
        <v>6</v>
      </c>
      <c r="G74" s="16" t="s">
        <v>45</v>
      </c>
      <c r="H74" s="22" t="str">
        <f t="shared" si="4"/>
        <v>AO A 08</v>
      </c>
      <c r="I74" s="6"/>
      <c r="J74" s="129" t="s">
        <v>21</v>
      </c>
      <c r="K74" s="111">
        <v>242</v>
      </c>
      <c r="L74" s="113" t="str">
        <f t="shared" si="5"/>
        <v>AB242</v>
      </c>
      <c r="M74" s="99" t="s">
        <v>225</v>
      </c>
      <c r="N74" s="104" t="s">
        <v>262</v>
      </c>
      <c r="O74" s="64"/>
      <c r="P74" s="29" t="s">
        <v>256</v>
      </c>
      <c r="Q74" s="101"/>
      <c r="R74" s="11"/>
      <c r="S74" s="9"/>
      <c r="T74" s="33" t="s">
        <v>7</v>
      </c>
      <c r="U74" s="9" t="s">
        <v>3</v>
      </c>
    </row>
    <row r="75" spans="1:21">
      <c r="A75" s="5">
        <f t="shared" si="6"/>
        <v>74</v>
      </c>
      <c r="B75" s="5" t="s">
        <v>5</v>
      </c>
      <c r="C75" s="19">
        <v>6</v>
      </c>
      <c r="D75" s="5" t="s">
        <v>0</v>
      </c>
      <c r="E75" s="5" t="s">
        <v>5</v>
      </c>
      <c r="F75" s="5" t="s">
        <v>6</v>
      </c>
      <c r="G75" s="16" t="s">
        <v>46</v>
      </c>
      <c r="H75" s="22" t="str">
        <f t="shared" si="4"/>
        <v>AO A 09</v>
      </c>
      <c r="I75" s="6"/>
      <c r="J75" s="130" t="s">
        <v>21</v>
      </c>
      <c r="K75" s="112">
        <v>232</v>
      </c>
      <c r="L75" s="114" t="str">
        <f t="shared" si="5"/>
        <v>AB232</v>
      </c>
      <c r="M75" s="99" t="s">
        <v>225</v>
      </c>
      <c r="N75" s="104" t="s">
        <v>264</v>
      </c>
      <c r="O75" s="8"/>
      <c r="P75" s="29" t="s">
        <v>215</v>
      </c>
      <c r="Q75" s="29"/>
      <c r="R75" s="11"/>
      <c r="S75" s="9"/>
      <c r="T75" s="33" t="s">
        <v>7</v>
      </c>
      <c r="U75" s="9" t="s">
        <v>3</v>
      </c>
    </row>
    <row r="76" spans="1:21" ht="16.5" customHeight="1">
      <c r="A76" s="5">
        <f t="shared" si="6"/>
        <v>75</v>
      </c>
      <c r="B76" s="5" t="s">
        <v>5</v>
      </c>
      <c r="C76" s="19">
        <v>6</v>
      </c>
      <c r="D76" s="5" t="s">
        <v>0</v>
      </c>
      <c r="E76" s="5" t="s">
        <v>5</v>
      </c>
      <c r="F76" s="5" t="s">
        <v>6</v>
      </c>
      <c r="G76" s="16" t="s">
        <v>49</v>
      </c>
      <c r="H76" s="22" t="str">
        <f t="shared" si="4"/>
        <v>AO A 10</v>
      </c>
      <c r="I76" s="6"/>
      <c r="J76" s="112"/>
      <c r="K76" s="113"/>
      <c r="L76" s="113" t="str">
        <f t="shared" si="5"/>
        <v/>
      </c>
      <c r="M76" s="105"/>
      <c r="N76" s="106"/>
      <c r="O76" s="64"/>
      <c r="P76" s="29"/>
      <c r="Q76" s="29"/>
      <c r="R76" s="11"/>
      <c r="S76" s="9"/>
      <c r="T76" s="33"/>
      <c r="U76" s="9"/>
    </row>
    <row r="77" spans="1:21">
      <c r="A77" s="5">
        <f t="shared" si="6"/>
        <v>76</v>
      </c>
      <c r="B77" s="5" t="s">
        <v>5</v>
      </c>
      <c r="C77" s="19">
        <v>6</v>
      </c>
      <c r="D77" s="5" t="s">
        <v>0</v>
      </c>
      <c r="E77" s="5" t="s">
        <v>5</v>
      </c>
      <c r="F77" s="5" t="s">
        <v>6</v>
      </c>
      <c r="G77" s="16" t="s">
        <v>50</v>
      </c>
      <c r="H77" s="22" t="str">
        <f t="shared" si="4"/>
        <v>AO A 11</v>
      </c>
      <c r="I77" s="6"/>
      <c r="J77" s="111" t="s">
        <v>22</v>
      </c>
      <c r="K77" s="111">
        <v>108</v>
      </c>
      <c r="L77" s="132" t="str">
        <f t="shared" si="5"/>
        <v>P108</v>
      </c>
      <c r="M77" s="206" t="s">
        <v>189</v>
      </c>
      <c r="N77" s="80" t="s">
        <v>265</v>
      </c>
      <c r="O77" s="64"/>
      <c r="P77" s="81" t="s">
        <v>214</v>
      </c>
      <c r="Q77" s="29"/>
      <c r="R77" s="11"/>
      <c r="S77" s="9"/>
      <c r="T77" s="33" t="s">
        <v>7</v>
      </c>
      <c r="U77" s="9" t="s">
        <v>3</v>
      </c>
    </row>
    <row r="78" spans="1:21">
      <c r="A78" s="5">
        <f t="shared" si="6"/>
        <v>77</v>
      </c>
      <c r="B78" s="5" t="s">
        <v>5</v>
      </c>
      <c r="C78" s="19">
        <v>6</v>
      </c>
      <c r="D78" s="5" t="s">
        <v>0</v>
      </c>
      <c r="E78" s="5" t="s">
        <v>5</v>
      </c>
      <c r="F78" s="5" t="s">
        <v>6</v>
      </c>
      <c r="G78" s="16" t="s">
        <v>51</v>
      </c>
      <c r="H78" s="22" t="str">
        <f t="shared" ref="H78:H125" si="7">E78&amp;" "&amp;F78&amp;" "&amp;G78</f>
        <v>AO A 12</v>
      </c>
      <c r="I78" s="6"/>
      <c r="J78" s="112" t="s">
        <v>22</v>
      </c>
      <c r="K78" s="112">
        <v>109</v>
      </c>
      <c r="L78" s="133" t="str">
        <f t="shared" si="5"/>
        <v>P109</v>
      </c>
      <c r="M78" s="207"/>
      <c r="N78" s="38" t="s">
        <v>266</v>
      </c>
      <c r="O78" s="8"/>
      <c r="P78" s="29"/>
      <c r="Q78" s="29"/>
      <c r="R78" s="11"/>
      <c r="S78" s="9"/>
      <c r="T78" s="33" t="s">
        <v>7</v>
      </c>
      <c r="U78" s="9" t="s">
        <v>3</v>
      </c>
    </row>
    <row r="79" spans="1:21">
      <c r="A79" s="5">
        <f t="shared" si="6"/>
        <v>78</v>
      </c>
      <c r="B79" s="5" t="s">
        <v>5</v>
      </c>
      <c r="C79" s="19">
        <v>6</v>
      </c>
      <c r="D79" s="5" t="s">
        <v>0</v>
      </c>
      <c r="E79" s="5" t="s">
        <v>5</v>
      </c>
      <c r="F79" s="5" t="s">
        <v>6</v>
      </c>
      <c r="G79" s="16" t="s">
        <v>54</v>
      </c>
      <c r="H79" s="22" t="str">
        <f t="shared" si="7"/>
        <v>AO A 13</v>
      </c>
      <c r="I79" s="6"/>
      <c r="J79" s="112"/>
      <c r="K79" s="112"/>
      <c r="L79" s="113" t="str">
        <f t="shared" si="5"/>
        <v/>
      </c>
      <c r="M79" s="7"/>
      <c r="N79" s="30"/>
      <c r="O79" s="8"/>
      <c r="P79" s="96"/>
      <c r="Q79" s="81"/>
      <c r="R79" s="11"/>
      <c r="S79" s="9"/>
      <c r="T79" s="33"/>
      <c r="U79" s="9"/>
    </row>
    <row r="80" spans="1:21">
      <c r="A80" s="5">
        <f t="shared" si="6"/>
        <v>79</v>
      </c>
      <c r="B80" s="5" t="s">
        <v>5</v>
      </c>
      <c r="C80" s="19">
        <v>6</v>
      </c>
      <c r="D80" s="5" t="s">
        <v>0</v>
      </c>
      <c r="E80" s="5" t="s">
        <v>5</v>
      </c>
      <c r="F80" s="5" t="s">
        <v>6</v>
      </c>
      <c r="G80" s="16" t="s">
        <v>52</v>
      </c>
      <c r="H80" s="22" t="str">
        <f t="shared" si="7"/>
        <v>AO A 14</v>
      </c>
      <c r="I80" s="6"/>
      <c r="J80" s="112" t="s">
        <v>22</v>
      </c>
      <c r="K80" s="112">
        <v>332</v>
      </c>
      <c r="L80" s="113" t="str">
        <f t="shared" si="5"/>
        <v>P332</v>
      </c>
      <c r="M80" s="7" t="s">
        <v>234</v>
      </c>
      <c r="N80" s="30" t="s">
        <v>171</v>
      </c>
      <c r="O80" s="8"/>
      <c r="P80" s="29" t="s">
        <v>235</v>
      </c>
      <c r="Q80" s="29"/>
      <c r="R80" s="11"/>
      <c r="S80" s="9"/>
      <c r="T80" s="33" t="s">
        <v>7</v>
      </c>
      <c r="U80" s="9" t="s">
        <v>3</v>
      </c>
    </row>
    <row r="81" spans="1:21" s="73" customFormat="1" ht="17.25" thickBot="1">
      <c r="A81" s="67">
        <f t="shared" si="6"/>
        <v>80</v>
      </c>
      <c r="B81" s="67" t="s">
        <v>5</v>
      </c>
      <c r="C81" s="68">
        <v>6</v>
      </c>
      <c r="D81" s="67" t="s">
        <v>0</v>
      </c>
      <c r="E81" s="67" t="s">
        <v>5</v>
      </c>
      <c r="F81" s="67" t="s">
        <v>6</v>
      </c>
      <c r="G81" s="82" t="s">
        <v>53</v>
      </c>
      <c r="H81" s="70" t="str">
        <f t="shared" si="7"/>
        <v>AO A 15</v>
      </c>
      <c r="I81" s="75"/>
      <c r="J81" s="115" t="s">
        <v>22</v>
      </c>
      <c r="K81" s="115">
        <v>422</v>
      </c>
      <c r="L81" s="134" t="str">
        <f t="shared" si="5"/>
        <v>P422</v>
      </c>
      <c r="M81" s="117" t="s">
        <v>234</v>
      </c>
      <c r="N81" s="116" t="s">
        <v>196</v>
      </c>
      <c r="O81" s="118"/>
      <c r="P81" s="119" t="s">
        <v>257</v>
      </c>
      <c r="Q81" s="96"/>
      <c r="R81" s="85"/>
      <c r="S81" s="72"/>
      <c r="T81" s="123" t="s">
        <v>7</v>
      </c>
      <c r="U81" s="125" t="s">
        <v>3</v>
      </c>
    </row>
    <row r="82" spans="1:21" ht="17.25" thickTop="1">
      <c r="A82" s="57">
        <f t="shared" si="6"/>
        <v>81</v>
      </c>
      <c r="B82" s="57" t="s">
        <v>2</v>
      </c>
      <c r="C82" s="58">
        <v>7</v>
      </c>
      <c r="D82" s="57" t="s">
        <v>0</v>
      </c>
      <c r="E82" s="57" t="s">
        <v>2</v>
      </c>
      <c r="F82" s="57" t="s">
        <v>59</v>
      </c>
      <c r="G82" s="59">
        <v>0</v>
      </c>
      <c r="H82" s="60" t="str">
        <f t="shared" si="7"/>
        <v>DI A 0</v>
      </c>
      <c r="I82" s="61"/>
      <c r="J82" s="57" t="s">
        <v>71</v>
      </c>
      <c r="K82" s="57">
        <v>508</v>
      </c>
      <c r="L82" s="35" t="str">
        <f t="shared" si="5"/>
        <v>FD508</v>
      </c>
      <c r="M82" s="62"/>
      <c r="N82" s="64" t="s">
        <v>73</v>
      </c>
      <c r="O82" s="64"/>
      <c r="P82" s="64"/>
      <c r="Q82" s="29"/>
      <c r="R82" s="65"/>
      <c r="S82" s="66"/>
      <c r="T82" s="124" t="s">
        <v>4</v>
      </c>
      <c r="U82" s="66" t="s">
        <v>3</v>
      </c>
    </row>
    <row r="83" spans="1:21">
      <c r="A83" s="5">
        <f t="shared" si="6"/>
        <v>82</v>
      </c>
      <c r="B83" s="5" t="s">
        <v>2</v>
      </c>
      <c r="C83" s="19">
        <v>7</v>
      </c>
      <c r="D83" s="5" t="s">
        <v>0</v>
      </c>
      <c r="E83" s="5" t="s">
        <v>2</v>
      </c>
      <c r="F83" s="5" t="s">
        <v>59</v>
      </c>
      <c r="G83" s="32">
        <v>1</v>
      </c>
      <c r="H83" s="22" t="str">
        <f t="shared" si="7"/>
        <v>DI A 1</v>
      </c>
      <c r="I83" s="6"/>
      <c r="J83" s="5" t="s">
        <v>63</v>
      </c>
      <c r="K83" s="5">
        <v>503</v>
      </c>
      <c r="L83" s="35" t="str">
        <f t="shared" si="5"/>
        <v>FAN503</v>
      </c>
      <c r="M83" s="7"/>
      <c r="N83" s="8" t="s">
        <v>74</v>
      </c>
      <c r="O83" s="8"/>
      <c r="P83" s="8"/>
      <c r="Q83" s="204"/>
      <c r="R83" s="11"/>
      <c r="S83" s="9"/>
      <c r="T83" s="33" t="s">
        <v>4</v>
      </c>
      <c r="U83" s="9" t="s">
        <v>3</v>
      </c>
    </row>
    <row r="84" spans="1:21">
      <c r="A84" s="5">
        <f t="shared" si="6"/>
        <v>83</v>
      </c>
      <c r="B84" s="5" t="s">
        <v>2</v>
      </c>
      <c r="C84" s="19">
        <v>7</v>
      </c>
      <c r="D84" s="5" t="s">
        <v>0</v>
      </c>
      <c r="E84" s="5" t="s">
        <v>2</v>
      </c>
      <c r="F84" s="5" t="s">
        <v>59</v>
      </c>
      <c r="G84" s="32">
        <v>2</v>
      </c>
      <c r="H84" s="22" t="str">
        <f t="shared" si="7"/>
        <v>DI A 2</v>
      </c>
      <c r="I84" s="6"/>
      <c r="J84" s="5"/>
      <c r="K84" s="5"/>
      <c r="L84" s="35" t="str">
        <f t="shared" si="5"/>
        <v/>
      </c>
      <c r="M84" s="7"/>
      <c r="N84" s="8"/>
      <c r="O84" s="8"/>
      <c r="P84" s="8"/>
      <c r="Q84" s="64"/>
      <c r="R84" s="11"/>
      <c r="S84" s="9"/>
      <c r="T84" s="33"/>
      <c r="U84" s="9"/>
    </row>
    <row r="85" spans="1:21">
      <c r="A85" s="5">
        <f t="shared" si="6"/>
        <v>84</v>
      </c>
      <c r="B85" s="5" t="s">
        <v>2</v>
      </c>
      <c r="C85" s="19">
        <v>7</v>
      </c>
      <c r="D85" s="5" t="s">
        <v>0</v>
      </c>
      <c r="E85" s="5" t="s">
        <v>2</v>
      </c>
      <c r="F85" s="5" t="s">
        <v>59</v>
      </c>
      <c r="G85" s="32">
        <v>3</v>
      </c>
      <c r="H85" s="22" t="str">
        <f t="shared" si="7"/>
        <v>DI A 3</v>
      </c>
      <c r="I85" s="6"/>
      <c r="J85" s="5"/>
      <c r="K85" s="5"/>
      <c r="L85" s="35" t="str">
        <f t="shared" si="5"/>
        <v/>
      </c>
      <c r="M85" s="7"/>
      <c r="N85" s="8"/>
      <c r="O85" s="8"/>
      <c r="P85" s="8"/>
      <c r="Q85" s="8"/>
      <c r="R85" s="11"/>
      <c r="S85" s="9"/>
      <c r="T85" s="33"/>
      <c r="U85" s="9"/>
    </row>
    <row r="86" spans="1:21">
      <c r="A86" s="5">
        <f t="shared" si="6"/>
        <v>85</v>
      </c>
      <c r="B86" s="5" t="s">
        <v>2</v>
      </c>
      <c r="C86" s="19">
        <v>7</v>
      </c>
      <c r="D86" s="5" t="s">
        <v>0</v>
      </c>
      <c r="E86" s="5" t="s">
        <v>2</v>
      </c>
      <c r="F86" s="5" t="s">
        <v>59</v>
      </c>
      <c r="G86" s="32">
        <v>4</v>
      </c>
      <c r="H86" s="22" t="str">
        <f t="shared" si="7"/>
        <v>DI A 4</v>
      </c>
      <c r="I86" s="6"/>
      <c r="J86" s="5"/>
      <c r="K86" s="5"/>
      <c r="L86" s="74" t="str">
        <f t="shared" si="5"/>
        <v/>
      </c>
      <c r="M86" s="7"/>
      <c r="N86" s="8"/>
      <c r="O86" s="27"/>
      <c r="P86" s="8"/>
      <c r="Q86" s="8"/>
      <c r="R86" s="11"/>
      <c r="S86" s="9"/>
      <c r="T86" s="33"/>
      <c r="U86" s="9"/>
    </row>
    <row r="87" spans="1:21">
      <c r="A87" s="5">
        <f t="shared" si="6"/>
        <v>86</v>
      </c>
      <c r="B87" s="5" t="s">
        <v>2</v>
      </c>
      <c r="C87" s="19">
        <v>7</v>
      </c>
      <c r="D87" s="5" t="s">
        <v>0</v>
      </c>
      <c r="E87" s="5" t="s">
        <v>2</v>
      </c>
      <c r="F87" s="5" t="s">
        <v>59</v>
      </c>
      <c r="G87" s="32">
        <v>5</v>
      </c>
      <c r="H87" s="22" t="str">
        <f t="shared" si="7"/>
        <v>DI A 5</v>
      </c>
      <c r="I87" s="6"/>
      <c r="J87" s="5" t="s">
        <v>72</v>
      </c>
      <c r="K87" s="5">
        <v>504</v>
      </c>
      <c r="L87" s="35" t="str">
        <f t="shared" si="5"/>
        <v>GD504</v>
      </c>
      <c r="M87" s="7"/>
      <c r="N87" s="8" t="s">
        <v>75</v>
      </c>
      <c r="O87" s="27"/>
      <c r="P87" s="8"/>
      <c r="Q87" s="8"/>
      <c r="R87" s="11"/>
      <c r="S87" s="9"/>
      <c r="T87" s="33"/>
      <c r="U87" s="9"/>
    </row>
    <row r="88" spans="1:21">
      <c r="A88" s="5">
        <f t="shared" si="6"/>
        <v>87</v>
      </c>
      <c r="B88" s="5" t="s">
        <v>2</v>
      </c>
      <c r="C88" s="19">
        <v>7</v>
      </c>
      <c r="D88" s="5" t="s">
        <v>0</v>
      </c>
      <c r="E88" s="5" t="s">
        <v>2</v>
      </c>
      <c r="F88" s="5" t="s">
        <v>59</v>
      </c>
      <c r="G88" s="32">
        <v>6</v>
      </c>
      <c r="H88" s="22" t="str">
        <f t="shared" si="7"/>
        <v>DI A 6</v>
      </c>
      <c r="I88" s="6"/>
      <c r="J88" s="5" t="s">
        <v>72</v>
      </c>
      <c r="K88" s="5">
        <v>505</v>
      </c>
      <c r="L88" s="131" t="str">
        <f t="shared" si="5"/>
        <v>GD505</v>
      </c>
      <c r="M88" s="45"/>
      <c r="N88" s="8" t="s">
        <v>76</v>
      </c>
      <c r="O88" s="27"/>
      <c r="P88" s="8"/>
      <c r="Q88" s="8"/>
      <c r="R88" s="9"/>
      <c r="S88" s="9"/>
      <c r="T88" s="33" t="s">
        <v>4</v>
      </c>
      <c r="U88" s="9" t="s">
        <v>3</v>
      </c>
    </row>
    <row r="89" spans="1:21">
      <c r="A89" s="5">
        <f t="shared" si="6"/>
        <v>88</v>
      </c>
      <c r="B89" s="5" t="s">
        <v>2</v>
      </c>
      <c r="C89" s="19">
        <v>7</v>
      </c>
      <c r="D89" s="5" t="s">
        <v>0</v>
      </c>
      <c r="E89" s="5" t="s">
        <v>2</v>
      </c>
      <c r="F89" s="5" t="s">
        <v>59</v>
      </c>
      <c r="G89" s="32">
        <v>7</v>
      </c>
      <c r="H89" s="22" t="str">
        <f t="shared" si="7"/>
        <v>DI A 7</v>
      </c>
      <c r="I89" s="6"/>
      <c r="J89" s="43"/>
      <c r="K89" s="43"/>
      <c r="L89" s="35" t="str">
        <f t="shared" si="5"/>
        <v/>
      </c>
      <c r="M89" s="45"/>
      <c r="N89" s="44"/>
      <c r="O89" s="27"/>
      <c r="P89" s="8"/>
      <c r="Q89" s="8"/>
      <c r="R89" s="11"/>
      <c r="S89" s="9"/>
      <c r="T89" s="33" t="s">
        <v>4</v>
      </c>
      <c r="U89" s="9" t="s">
        <v>3</v>
      </c>
    </row>
    <row r="90" spans="1:21">
      <c r="A90" s="5">
        <f t="shared" si="6"/>
        <v>89</v>
      </c>
      <c r="B90" s="5" t="s">
        <v>2</v>
      </c>
      <c r="C90" s="19">
        <v>7</v>
      </c>
      <c r="D90" s="5" t="s">
        <v>0</v>
      </c>
      <c r="E90" s="5" t="s">
        <v>2</v>
      </c>
      <c r="F90" s="5" t="s">
        <v>59</v>
      </c>
      <c r="G90" s="32">
        <v>8</v>
      </c>
      <c r="H90" s="22" t="str">
        <f t="shared" si="7"/>
        <v>DI A 8</v>
      </c>
      <c r="I90" s="6"/>
      <c r="J90" s="39"/>
      <c r="K90" s="39"/>
      <c r="L90" s="34"/>
      <c r="M90" s="7"/>
      <c r="N90" s="40"/>
      <c r="O90" s="26"/>
      <c r="P90" s="8"/>
      <c r="Q90" s="8"/>
      <c r="R90" s="11"/>
      <c r="S90" s="9"/>
      <c r="T90" s="33"/>
      <c r="U90" s="9"/>
    </row>
    <row r="91" spans="1:21">
      <c r="A91" s="5">
        <f t="shared" si="6"/>
        <v>90</v>
      </c>
      <c r="B91" s="5" t="s">
        <v>2</v>
      </c>
      <c r="C91" s="19">
        <v>7</v>
      </c>
      <c r="D91" s="5" t="s">
        <v>0</v>
      </c>
      <c r="E91" s="5" t="s">
        <v>2</v>
      </c>
      <c r="F91" s="5" t="s">
        <v>59</v>
      </c>
      <c r="G91" s="32">
        <v>9</v>
      </c>
      <c r="H91" s="22" t="str">
        <f t="shared" si="7"/>
        <v>DI A 9</v>
      </c>
      <c r="I91" s="6"/>
      <c r="J91" s="39"/>
      <c r="K91" s="39"/>
      <c r="L91" s="34"/>
      <c r="M91" s="7"/>
      <c r="N91" s="40"/>
      <c r="O91" s="26"/>
      <c r="P91" s="8"/>
      <c r="Q91" s="8"/>
      <c r="R91" s="11"/>
      <c r="S91" s="9"/>
      <c r="T91" s="33"/>
      <c r="U91" s="9"/>
    </row>
    <row r="92" spans="1:21">
      <c r="A92" s="5">
        <f t="shared" si="6"/>
        <v>91</v>
      </c>
      <c r="B92" s="5" t="s">
        <v>2</v>
      </c>
      <c r="C92" s="19">
        <v>7</v>
      </c>
      <c r="D92" s="5" t="s">
        <v>0</v>
      </c>
      <c r="E92" s="5" t="s">
        <v>2</v>
      </c>
      <c r="F92" s="5" t="s">
        <v>59</v>
      </c>
      <c r="G92" s="32">
        <v>10</v>
      </c>
      <c r="H92" s="22" t="str">
        <f t="shared" si="7"/>
        <v>DI A 10</v>
      </c>
      <c r="I92" s="6"/>
      <c r="J92" s="39"/>
      <c r="K92" s="39"/>
      <c r="L92" s="34"/>
      <c r="M92" s="7"/>
      <c r="N92" s="40"/>
      <c r="O92" s="27"/>
      <c r="P92" s="8"/>
      <c r="Q92" s="8"/>
      <c r="R92" s="11"/>
      <c r="S92" s="9"/>
      <c r="T92" s="33"/>
      <c r="U92" s="9"/>
    </row>
    <row r="93" spans="1:21">
      <c r="A93" s="5">
        <f t="shared" si="6"/>
        <v>92</v>
      </c>
      <c r="B93" s="5" t="s">
        <v>2</v>
      </c>
      <c r="C93" s="19">
        <v>7</v>
      </c>
      <c r="D93" s="5" t="s">
        <v>0</v>
      </c>
      <c r="E93" s="5" t="s">
        <v>2</v>
      </c>
      <c r="F93" s="5" t="s">
        <v>59</v>
      </c>
      <c r="G93" s="32">
        <v>11</v>
      </c>
      <c r="H93" s="22" t="str">
        <f t="shared" si="7"/>
        <v>DI A 11</v>
      </c>
      <c r="I93" s="6"/>
      <c r="J93" s="39"/>
      <c r="K93" s="39"/>
      <c r="L93" s="34"/>
      <c r="M93" s="7"/>
      <c r="N93" s="40"/>
      <c r="O93" s="27"/>
      <c r="P93" s="8"/>
      <c r="Q93" s="8"/>
      <c r="R93" s="11"/>
      <c r="S93" s="9"/>
      <c r="T93" s="33"/>
      <c r="U93" s="9"/>
    </row>
    <row r="94" spans="1:21">
      <c r="A94" s="5">
        <f t="shared" si="6"/>
        <v>93</v>
      </c>
      <c r="B94" s="5" t="s">
        <v>2</v>
      </c>
      <c r="C94" s="19">
        <v>7</v>
      </c>
      <c r="D94" s="5" t="s">
        <v>0</v>
      </c>
      <c r="E94" s="5" t="s">
        <v>2</v>
      </c>
      <c r="F94" s="5" t="s">
        <v>59</v>
      </c>
      <c r="G94" s="32">
        <v>12</v>
      </c>
      <c r="H94" s="22" t="str">
        <f t="shared" si="7"/>
        <v>DI A 12</v>
      </c>
      <c r="I94" s="6"/>
      <c r="J94" s="39"/>
      <c r="K94" s="39"/>
      <c r="L94" s="34"/>
      <c r="M94" s="7"/>
      <c r="N94" s="40"/>
      <c r="O94" s="8"/>
      <c r="P94" s="8"/>
      <c r="Q94" s="8"/>
      <c r="R94" s="11"/>
      <c r="S94" s="9"/>
      <c r="T94" s="33"/>
      <c r="U94" s="9"/>
    </row>
    <row r="95" spans="1:21">
      <c r="A95" s="5">
        <f t="shared" si="6"/>
        <v>94</v>
      </c>
      <c r="B95" s="5" t="s">
        <v>2</v>
      </c>
      <c r="C95" s="19">
        <v>7</v>
      </c>
      <c r="D95" s="5" t="s">
        <v>0</v>
      </c>
      <c r="E95" s="5" t="s">
        <v>2</v>
      </c>
      <c r="F95" s="5" t="s">
        <v>59</v>
      </c>
      <c r="G95" s="32">
        <v>13</v>
      </c>
      <c r="H95" s="22" t="str">
        <f t="shared" si="7"/>
        <v>DI A 13</v>
      </c>
      <c r="I95" s="6"/>
      <c r="J95" s="39"/>
      <c r="K95" s="39"/>
      <c r="L95" s="34"/>
      <c r="M95" s="7"/>
      <c r="N95" s="40"/>
      <c r="O95" s="8"/>
      <c r="P95" s="8"/>
      <c r="Q95" s="8"/>
      <c r="R95" s="11"/>
      <c r="S95" s="9"/>
      <c r="T95" s="33"/>
      <c r="U95" s="9"/>
    </row>
    <row r="96" spans="1:21">
      <c r="A96" s="5">
        <f t="shared" si="6"/>
        <v>95</v>
      </c>
      <c r="B96" s="5" t="s">
        <v>2</v>
      </c>
      <c r="C96" s="19">
        <v>7</v>
      </c>
      <c r="D96" s="5" t="s">
        <v>0</v>
      </c>
      <c r="E96" s="5" t="s">
        <v>2</v>
      </c>
      <c r="F96" s="5" t="s">
        <v>59</v>
      </c>
      <c r="G96" s="32">
        <v>14</v>
      </c>
      <c r="H96" s="22" t="str">
        <f t="shared" si="7"/>
        <v>DI A 14</v>
      </c>
      <c r="I96" s="6"/>
      <c r="J96" s="39"/>
      <c r="K96" s="39"/>
      <c r="L96" s="36"/>
      <c r="M96" s="7"/>
      <c r="N96" s="40"/>
      <c r="O96" s="8"/>
      <c r="P96" s="8"/>
      <c r="Q96" s="8"/>
      <c r="R96" s="11"/>
      <c r="S96" s="9"/>
      <c r="T96" s="33"/>
      <c r="U96" s="9"/>
    </row>
    <row r="97" spans="1:21">
      <c r="A97" s="5">
        <f t="shared" si="6"/>
        <v>96</v>
      </c>
      <c r="B97" s="5" t="s">
        <v>2</v>
      </c>
      <c r="C97" s="19">
        <v>7</v>
      </c>
      <c r="D97" s="5" t="s">
        <v>0</v>
      </c>
      <c r="E97" s="5" t="s">
        <v>2</v>
      </c>
      <c r="F97" s="5" t="s">
        <v>59</v>
      </c>
      <c r="G97" s="32">
        <v>15</v>
      </c>
      <c r="H97" s="22" t="str">
        <f t="shared" si="7"/>
        <v>DI A 15</v>
      </c>
      <c r="I97" s="6"/>
      <c r="J97" s="37" t="s">
        <v>58</v>
      </c>
      <c r="K97" s="37" t="s">
        <v>69</v>
      </c>
      <c r="L97" s="36" t="str">
        <f>$J97 &amp; $K97</f>
        <v>TJ-sig</v>
      </c>
      <c r="M97" s="7" t="s">
        <v>66</v>
      </c>
      <c r="N97" s="26" t="s">
        <v>176</v>
      </c>
      <c r="O97" s="8"/>
      <c r="P97" s="8"/>
      <c r="Q97" s="8"/>
      <c r="R97" s="11"/>
      <c r="S97" s="9"/>
      <c r="T97" s="33" t="s">
        <v>4</v>
      </c>
      <c r="U97" s="9" t="s">
        <v>3</v>
      </c>
    </row>
    <row r="98" spans="1:21">
      <c r="A98" s="5">
        <f t="shared" si="6"/>
        <v>97</v>
      </c>
      <c r="B98" s="5" t="s">
        <v>2</v>
      </c>
      <c r="C98" s="19">
        <v>7</v>
      </c>
      <c r="D98" s="5" t="s">
        <v>0</v>
      </c>
      <c r="E98" s="5" t="s">
        <v>35</v>
      </c>
      <c r="F98" s="5" t="s">
        <v>59</v>
      </c>
      <c r="G98" s="32">
        <v>0</v>
      </c>
      <c r="H98" s="22" t="str">
        <f t="shared" si="7"/>
        <v>Counter A 0</v>
      </c>
      <c r="I98" s="6"/>
      <c r="J98" s="5"/>
      <c r="K98" s="5"/>
      <c r="L98" s="34"/>
      <c r="M98" s="7"/>
      <c r="N98" s="38"/>
      <c r="O98" s="8"/>
      <c r="P98" s="8"/>
      <c r="Q98" s="8"/>
      <c r="R98" s="28"/>
      <c r="S98" s="9"/>
      <c r="T98" s="5"/>
      <c r="U98" s="9"/>
    </row>
    <row r="99" spans="1:21">
      <c r="A99" s="5">
        <f t="shared" si="6"/>
        <v>98</v>
      </c>
      <c r="B99" s="5" t="s">
        <v>2</v>
      </c>
      <c r="C99" s="19">
        <v>7</v>
      </c>
      <c r="D99" s="5" t="s">
        <v>0</v>
      </c>
      <c r="E99" s="5" t="s">
        <v>35</v>
      </c>
      <c r="F99" s="5" t="s">
        <v>59</v>
      </c>
      <c r="G99" s="32">
        <v>1</v>
      </c>
      <c r="H99" s="22" t="str">
        <f t="shared" si="7"/>
        <v>Counter A 1</v>
      </c>
      <c r="I99" s="6"/>
      <c r="J99" s="5"/>
      <c r="K99" s="5"/>
      <c r="L99" s="34"/>
      <c r="M99" s="7"/>
      <c r="N99" s="38"/>
      <c r="O99" s="8"/>
      <c r="P99" s="8"/>
      <c r="Q99" s="8"/>
      <c r="R99" s="28"/>
      <c r="S99" s="9"/>
      <c r="T99" s="5"/>
      <c r="U99" s="9"/>
    </row>
    <row r="100" spans="1:21">
      <c r="A100" s="5">
        <f t="shared" si="6"/>
        <v>99</v>
      </c>
      <c r="B100" s="5" t="s">
        <v>2</v>
      </c>
      <c r="C100" s="19">
        <v>7</v>
      </c>
      <c r="D100" s="5" t="s">
        <v>0</v>
      </c>
      <c r="E100" s="5" t="s">
        <v>35</v>
      </c>
      <c r="F100" s="5" t="s">
        <v>59</v>
      </c>
      <c r="G100" s="32">
        <v>2</v>
      </c>
      <c r="H100" s="22" t="str">
        <f t="shared" si="7"/>
        <v>Counter A 2</v>
      </c>
      <c r="I100" s="6"/>
      <c r="J100" s="5" t="s">
        <v>62</v>
      </c>
      <c r="K100" s="5">
        <v>444</v>
      </c>
      <c r="L100" s="34" t="str">
        <f t="shared" ref="L100:L103" si="8">$J100 &amp; $K100</f>
        <v>FM444</v>
      </c>
      <c r="M100" s="7"/>
      <c r="N100" s="38" t="s">
        <v>194</v>
      </c>
      <c r="O100" s="8"/>
      <c r="P100" s="9"/>
      <c r="Q100" s="8"/>
      <c r="R100" s="11" t="s">
        <v>260</v>
      </c>
      <c r="S100" s="9" t="s">
        <v>68</v>
      </c>
      <c r="T100" s="5">
        <v>18.600000000000001</v>
      </c>
      <c r="U100" s="9" t="s">
        <v>70</v>
      </c>
    </row>
    <row r="101" spans="1:21">
      <c r="A101" s="5">
        <f t="shared" si="6"/>
        <v>100</v>
      </c>
      <c r="B101" s="5" t="s">
        <v>2</v>
      </c>
      <c r="C101" s="19">
        <v>7</v>
      </c>
      <c r="D101" s="5" t="s">
        <v>0</v>
      </c>
      <c r="E101" s="5" t="s">
        <v>35</v>
      </c>
      <c r="F101" s="5" t="s">
        <v>59</v>
      </c>
      <c r="G101" s="32">
        <v>3</v>
      </c>
      <c r="H101" s="22" t="str">
        <f t="shared" si="7"/>
        <v>Counter A 3</v>
      </c>
      <c r="I101" s="6"/>
      <c r="J101" s="5" t="s">
        <v>62</v>
      </c>
      <c r="K101" s="5">
        <v>314</v>
      </c>
      <c r="L101" s="34" t="str">
        <f t="shared" si="8"/>
        <v>FM314</v>
      </c>
      <c r="M101" s="7"/>
      <c r="N101" s="38" t="s">
        <v>150</v>
      </c>
      <c r="O101" s="8"/>
      <c r="P101" s="8"/>
      <c r="Q101" s="8"/>
      <c r="R101" s="11" t="s">
        <v>260</v>
      </c>
      <c r="S101" s="9" t="s">
        <v>68</v>
      </c>
      <c r="T101" s="5">
        <v>18.600000000000001</v>
      </c>
      <c r="U101" s="9" t="s">
        <v>70</v>
      </c>
    </row>
    <row r="102" spans="1:21">
      <c r="A102" s="5">
        <f t="shared" si="6"/>
        <v>101</v>
      </c>
      <c r="B102" s="5" t="s">
        <v>2</v>
      </c>
      <c r="C102" s="19">
        <v>7</v>
      </c>
      <c r="D102" s="5" t="s">
        <v>0</v>
      </c>
      <c r="E102" s="5" t="s">
        <v>35</v>
      </c>
      <c r="F102" s="5" t="s">
        <v>59</v>
      </c>
      <c r="G102" s="32">
        <v>4</v>
      </c>
      <c r="H102" s="22" t="str">
        <f t="shared" si="7"/>
        <v>Counter A 4</v>
      </c>
      <c r="I102" s="6"/>
      <c r="J102" s="5" t="s">
        <v>149</v>
      </c>
      <c r="K102" s="5">
        <v>324</v>
      </c>
      <c r="L102" s="34" t="str">
        <f t="shared" si="8"/>
        <v>FM324</v>
      </c>
      <c r="M102" s="7"/>
      <c r="N102" s="38" t="s">
        <v>151</v>
      </c>
      <c r="O102" s="8"/>
      <c r="P102" s="8"/>
      <c r="Q102" s="9"/>
      <c r="R102" s="11" t="s">
        <v>260</v>
      </c>
      <c r="S102" s="9" t="s">
        <v>68</v>
      </c>
      <c r="T102" s="5">
        <v>18.600000000000001</v>
      </c>
      <c r="U102" s="9" t="s">
        <v>70</v>
      </c>
    </row>
    <row r="103" spans="1:21" s="73" customFormat="1" ht="17.25" thickBot="1">
      <c r="A103" s="67">
        <f t="shared" si="6"/>
        <v>102</v>
      </c>
      <c r="B103" s="67" t="s">
        <v>2</v>
      </c>
      <c r="C103" s="68">
        <v>7</v>
      </c>
      <c r="D103" s="67" t="s">
        <v>0</v>
      </c>
      <c r="E103" s="67" t="s">
        <v>35</v>
      </c>
      <c r="F103" s="67" t="s">
        <v>59</v>
      </c>
      <c r="G103" s="69">
        <v>5</v>
      </c>
      <c r="H103" s="70" t="str">
        <f t="shared" si="7"/>
        <v>Counter A 5</v>
      </c>
      <c r="I103" s="75"/>
      <c r="J103" s="67" t="s">
        <v>149</v>
      </c>
      <c r="K103" s="67">
        <v>408</v>
      </c>
      <c r="L103" s="76" t="str">
        <f t="shared" si="8"/>
        <v>FM408</v>
      </c>
      <c r="M103" s="77"/>
      <c r="N103" s="88" t="s">
        <v>195</v>
      </c>
      <c r="O103" s="71"/>
      <c r="P103" s="72"/>
      <c r="Q103" s="8"/>
      <c r="R103" s="181" t="s">
        <v>260</v>
      </c>
      <c r="S103" s="92" t="s">
        <v>68</v>
      </c>
      <c r="T103" s="67">
        <v>18.600000000000001</v>
      </c>
      <c r="U103" s="72" t="s">
        <v>70</v>
      </c>
    </row>
    <row r="104" spans="1:21" ht="17.25" thickTop="1">
      <c r="A104" s="57">
        <f t="shared" si="6"/>
        <v>103</v>
      </c>
      <c r="B104" s="57" t="s">
        <v>1</v>
      </c>
      <c r="C104" s="58">
        <v>8</v>
      </c>
      <c r="D104" s="57" t="s">
        <v>0</v>
      </c>
      <c r="E104" s="57" t="s">
        <v>1</v>
      </c>
      <c r="F104" s="57" t="s">
        <v>6</v>
      </c>
      <c r="G104" s="79">
        <v>0</v>
      </c>
      <c r="H104" s="60" t="str">
        <f t="shared" si="7"/>
        <v>DO A 0</v>
      </c>
      <c r="I104" s="61"/>
      <c r="J104" s="107" t="s">
        <v>83</v>
      </c>
      <c r="K104" s="107">
        <v>102</v>
      </c>
      <c r="L104" s="108" t="str">
        <f t="shared" ref="L104:L135" si="9">$J104 &amp; $K104</f>
        <v>SV102</v>
      </c>
      <c r="M104" s="87" t="s">
        <v>85</v>
      </c>
      <c r="N104" s="80" t="s">
        <v>267</v>
      </c>
      <c r="O104" s="64"/>
      <c r="P104" s="64"/>
      <c r="Q104" s="8"/>
      <c r="R104" s="182"/>
      <c r="S104" s="183"/>
      <c r="T104" s="84" t="s">
        <v>4</v>
      </c>
      <c r="U104" s="66" t="s">
        <v>3</v>
      </c>
    </row>
    <row r="105" spans="1:21">
      <c r="A105" s="5">
        <f t="shared" si="6"/>
        <v>104</v>
      </c>
      <c r="B105" s="5" t="s">
        <v>1</v>
      </c>
      <c r="C105" s="19">
        <v>8</v>
      </c>
      <c r="D105" s="5" t="s">
        <v>0</v>
      </c>
      <c r="E105" s="5" t="s">
        <v>1</v>
      </c>
      <c r="F105" s="5" t="s">
        <v>6</v>
      </c>
      <c r="G105" s="16">
        <v>1</v>
      </c>
      <c r="H105" s="22" t="str">
        <f t="shared" si="7"/>
        <v>DO A 1</v>
      </c>
      <c r="I105" s="6"/>
      <c r="J105" s="109" t="s">
        <v>83</v>
      </c>
      <c r="K105" s="109">
        <v>103</v>
      </c>
      <c r="L105" s="110" t="str">
        <f t="shared" si="9"/>
        <v>SV103</v>
      </c>
      <c r="M105" s="14" t="s">
        <v>86</v>
      </c>
      <c r="N105" s="38" t="s">
        <v>152</v>
      </c>
      <c r="O105" s="8"/>
      <c r="P105" s="8"/>
      <c r="Q105" s="92"/>
      <c r="R105" s="11"/>
      <c r="S105" s="9"/>
      <c r="T105" s="33" t="s">
        <v>4</v>
      </c>
      <c r="U105" s="9" t="s">
        <v>3</v>
      </c>
    </row>
    <row r="106" spans="1:21">
      <c r="A106" s="5">
        <f t="shared" si="6"/>
        <v>105</v>
      </c>
      <c r="B106" s="5" t="s">
        <v>1</v>
      </c>
      <c r="C106" s="19">
        <v>8</v>
      </c>
      <c r="D106" s="5" t="s">
        <v>0</v>
      </c>
      <c r="E106" s="5" t="s">
        <v>1</v>
      </c>
      <c r="F106" s="5" t="s">
        <v>6</v>
      </c>
      <c r="G106" s="16">
        <v>2</v>
      </c>
      <c r="H106" s="22" t="str">
        <f t="shared" si="7"/>
        <v>DO A 2</v>
      </c>
      <c r="I106" s="6"/>
      <c r="J106" s="109" t="s">
        <v>83</v>
      </c>
      <c r="K106" s="109">
        <v>152</v>
      </c>
      <c r="L106" s="110" t="str">
        <f t="shared" si="9"/>
        <v>SV152</v>
      </c>
      <c r="M106" s="14" t="s">
        <v>87</v>
      </c>
      <c r="N106" s="38" t="s">
        <v>153</v>
      </c>
      <c r="O106" s="8"/>
      <c r="P106" s="8"/>
      <c r="Q106" s="64"/>
      <c r="R106" s="11"/>
      <c r="S106" s="9"/>
      <c r="T106" s="33" t="s">
        <v>4</v>
      </c>
      <c r="U106" s="9" t="s">
        <v>3</v>
      </c>
    </row>
    <row r="107" spans="1:21">
      <c r="A107" s="5">
        <f t="shared" si="6"/>
        <v>106</v>
      </c>
      <c r="B107" s="5" t="s">
        <v>1</v>
      </c>
      <c r="C107" s="19">
        <v>8</v>
      </c>
      <c r="D107" s="5" t="s">
        <v>0</v>
      </c>
      <c r="E107" s="5" t="s">
        <v>1</v>
      </c>
      <c r="F107" s="5" t="s">
        <v>6</v>
      </c>
      <c r="G107" s="16">
        <v>3</v>
      </c>
      <c r="H107" s="22" t="str">
        <f t="shared" si="7"/>
        <v>DO A 3</v>
      </c>
      <c r="I107" s="6"/>
      <c r="J107" s="109" t="s">
        <v>84</v>
      </c>
      <c r="K107" s="109">
        <v>193</v>
      </c>
      <c r="L107" s="110" t="str">
        <f t="shared" si="9"/>
        <v>HT193</v>
      </c>
      <c r="M107" s="14" t="s">
        <v>88</v>
      </c>
      <c r="N107" s="38" t="s">
        <v>170</v>
      </c>
      <c r="O107" s="8"/>
      <c r="P107" s="8"/>
      <c r="Q107" s="8"/>
      <c r="R107" s="11"/>
      <c r="S107" s="9"/>
      <c r="T107" s="33" t="s">
        <v>4</v>
      </c>
      <c r="U107" s="9" t="s">
        <v>3</v>
      </c>
    </row>
    <row r="108" spans="1:21">
      <c r="A108" s="5">
        <f t="shared" si="6"/>
        <v>107</v>
      </c>
      <c r="B108" s="5" t="s">
        <v>1</v>
      </c>
      <c r="C108" s="19">
        <v>8</v>
      </c>
      <c r="D108" s="5" t="s">
        <v>0</v>
      </c>
      <c r="E108" s="5" t="s">
        <v>1</v>
      </c>
      <c r="F108" s="5" t="s">
        <v>6</v>
      </c>
      <c r="G108" s="16">
        <v>4</v>
      </c>
      <c r="H108" s="22" t="str">
        <f t="shared" si="7"/>
        <v>DO A 4</v>
      </c>
      <c r="I108" s="6"/>
      <c r="J108" s="109" t="s">
        <v>84</v>
      </c>
      <c r="K108" s="109">
        <v>194</v>
      </c>
      <c r="L108" s="110" t="str">
        <f t="shared" si="9"/>
        <v>HT194</v>
      </c>
      <c r="M108" s="14" t="s">
        <v>89</v>
      </c>
      <c r="N108" s="38" t="s">
        <v>169</v>
      </c>
      <c r="O108" s="8"/>
      <c r="P108" s="8"/>
      <c r="Q108" s="8"/>
      <c r="R108" s="11"/>
      <c r="S108" s="9"/>
      <c r="T108" s="33" t="s">
        <v>4</v>
      </c>
      <c r="U108" s="9" t="s">
        <v>3</v>
      </c>
    </row>
    <row r="109" spans="1:21">
      <c r="A109" s="5">
        <f t="shared" si="6"/>
        <v>108</v>
      </c>
      <c r="B109" s="5" t="s">
        <v>1</v>
      </c>
      <c r="C109" s="19">
        <v>8</v>
      </c>
      <c r="D109" s="5" t="s">
        <v>0</v>
      </c>
      <c r="E109" s="5" t="s">
        <v>1</v>
      </c>
      <c r="F109" s="5" t="s">
        <v>6</v>
      </c>
      <c r="G109" s="16">
        <v>5</v>
      </c>
      <c r="H109" s="22" t="str">
        <f t="shared" si="7"/>
        <v>DO A 5</v>
      </c>
      <c r="I109" s="6"/>
      <c r="J109" s="109" t="s">
        <v>83</v>
      </c>
      <c r="K109" s="109">
        <v>304</v>
      </c>
      <c r="L109" s="110" t="str">
        <f t="shared" si="9"/>
        <v>SV304</v>
      </c>
      <c r="M109" s="14" t="s">
        <v>90</v>
      </c>
      <c r="N109" s="38" t="s">
        <v>154</v>
      </c>
      <c r="O109" s="8"/>
      <c r="P109" s="8"/>
      <c r="Q109" s="8"/>
      <c r="R109" s="11"/>
      <c r="S109" s="9"/>
      <c r="T109" s="33" t="s">
        <v>4</v>
      </c>
      <c r="U109" s="9" t="s">
        <v>3</v>
      </c>
    </row>
    <row r="110" spans="1:21">
      <c r="A110" s="5">
        <f t="shared" si="6"/>
        <v>109</v>
      </c>
      <c r="B110" s="5" t="s">
        <v>1</v>
      </c>
      <c r="C110" s="19">
        <v>8</v>
      </c>
      <c r="D110" s="5" t="s">
        <v>0</v>
      </c>
      <c r="E110" s="5" t="s">
        <v>1</v>
      </c>
      <c r="F110" s="5" t="s">
        <v>6</v>
      </c>
      <c r="G110" s="16">
        <v>6</v>
      </c>
      <c r="H110" s="22" t="str">
        <f t="shared" si="7"/>
        <v>DO A 6</v>
      </c>
      <c r="I110" s="6"/>
      <c r="J110" s="109" t="s">
        <v>83</v>
      </c>
      <c r="K110" s="109">
        <v>306</v>
      </c>
      <c r="L110" s="110" t="str">
        <f t="shared" si="9"/>
        <v>SV306</v>
      </c>
      <c r="M110" s="14" t="s">
        <v>91</v>
      </c>
      <c r="N110" s="38" t="s">
        <v>155</v>
      </c>
      <c r="O110" s="8"/>
      <c r="P110" s="8"/>
      <c r="Q110" s="8"/>
      <c r="R110" s="11"/>
      <c r="S110" s="9"/>
      <c r="T110" s="33" t="s">
        <v>4</v>
      </c>
      <c r="U110" s="9" t="s">
        <v>3</v>
      </c>
    </row>
    <row r="111" spans="1:21">
      <c r="A111" s="5">
        <f t="shared" si="6"/>
        <v>110</v>
      </c>
      <c r="B111" s="5" t="s">
        <v>1</v>
      </c>
      <c r="C111" s="19">
        <v>8</v>
      </c>
      <c r="D111" s="5" t="s">
        <v>0</v>
      </c>
      <c r="E111" s="5" t="s">
        <v>1</v>
      </c>
      <c r="F111" s="5" t="s">
        <v>6</v>
      </c>
      <c r="G111" s="16">
        <v>7</v>
      </c>
      <c r="H111" s="22" t="str">
        <f t="shared" si="7"/>
        <v>DO A 7</v>
      </c>
      <c r="I111" s="6"/>
      <c r="J111" s="109" t="s">
        <v>22</v>
      </c>
      <c r="K111" s="109">
        <v>346</v>
      </c>
      <c r="L111" s="110" t="str">
        <f t="shared" si="9"/>
        <v>P346</v>
      </c>
      <c r="M111" s="14" t="s">
        <v>92</v>
      </c>
      <c r="N111" s="38" t="s">
        <v>174</v>
      </c>
      <c r="O111" s="8"/>
      <c r="P111" s="8"/>
      <c r="Q111" s="8"/>
      <c r="R111" s="11"/>
      <c r="S111" s="9"/>
      <c r="T111" s="33" t="s">
        <v>4</v>
      </c>
      <c r="U111" s="9" t="s">
        <v>3</v>
      </c>
    </row>
    <row r="112" spans="1:21">
      <c r="A112" s="5">
        <f t="shared" si="6"/>
        <v>111</v>
      </c>
      <c r="B112" s="5" t="s">
        <v>1</v>
      </c>
      <c r="C112" s="19">
        <v>8</v>
      </c>
      <c r="D112" s="5" t="s">
        <v>0</v>
      </c>
      <c r="E112" s="5" t="s">
        <v>1</v>
      </c>
      <c r="F112" s="5" t="s">
        <v>6</v>
      </c>
      <c r="G112" s="16">
        <v>8</v>
      </c>
      <c r="H112" s="22" t="str">
        <f t="shared" si="7"/>
        <v>DO A 8</v>
      </c>
      <c r="I112" s="6"/>
      <c r="J112" s="109" t="s">
        <v>121</v>
      </c>
      <c r="K112" s="109" t="s">
        <v>159</v>
      </c>
      <c r="L112" s="109" t="str">
        <f t="shared" si="9"/>
        <v>INV RUN</v>
      </c>
      <c r="M112" s="14" t="s">
        <v>113</v>
      </c>
      <c r="N112" s="8" t="s">
        <v>158</v>
      </c>
      <c r="O112" s="8"/>
      <c r="P112" s="8"/>
      <c r="Q112" s="8"/>
      <c r="R112" s="11"/>
      <c r="S112" s="9"/>
      <c r="T112" s="33" t="s">
        <v>4</v>
      </c>
      <c r="U112" s="9" t="s">
        <v>3</v>
      </c>
    </row>
    <row r="113" spans="1:21">
      <c r="A113" s="5">
        <f t="shared" si="6"/>
        <v>112</v>
      </c>
      <c r="B113" s="5" t="s">
        <v>1</v>
      </c>
      <c r="C113" s="19">
        <v>8</v>
      </c>
      <c r="D113" s="5" t="s">
        <v>0</v>
      </c>
      <c r="E113" s="5" t="s">
        <v>1</v>
      </c>
      <c r="F113" s="5" t="s">
        <v>6</v>
      </c>
      <c r="G113" s="16">
        <v>9</v>
      </c>
      <c r="H113" s="22" t="str">
        <f t="shared" si="7"/>
        <v>DO A 9</v>
      </c>
      <c r="I113" s="6"/>
      <c r="J113" s="109" t="s">
        <v>22</v>
      </c>
      <c r="K113" s="109">
        <v>412</v>
      </c>
      <c r="L113" s="109" t="str">
        <f t="shared" si="9"/>
        <v>P412</v>
      </c>
      <c r="M113" s="14" t="s">
        <v>114</v>
      </c>
      <c r="N113" s="8" t="s">
        <v>198</v>
      </c>
      <c r="O113" s="8"/>
      <c r="P113" s="8"/>
      <c r="Q113" s="8"/>
      <c r="R113" s="11"/>
      <c r="S113" s="9"/>
      <c r="T113" s="33" t="s">
        <v>4</v>
      </c>
      <c r="U113" s="9" t="s">
        <v>3</v>
      </c>
    </row>
    <row r="114" spans="1:21">
      <c r="A114" s="5">
        <f t="shared" si="6"/>
        <v>113</v>
      </c>
      <c r="B114" s="5" t="s">
        <v>1</v>
      </c>
      <c r="C114" s="19">
        <v>8</v>
      </c>
      <c r="D114" s="5" t="s">
        <v>0</v>
      </c>
      <c r="E114" s="5" t="s">
        <v>1</v>
      </c>
      <c r="F114" s="5" t="s">
        <v>6</v>
      </c>
      <c r="G114" s="16">
        <v>10</v>
      </c>
      <c r="H114" s="22" t="str">
        <f t="shared" si="7"/>
        <v>DO A 10</v>
      </c>
      <c r="I114" s="6"/>
      <c r="J114" s="109" t="s">
        <v>22</v>
      </c>
      <c r="K114" s="110">
        <v>343</v>
      </c>
      <c r="L114" s="109" t="str">
        <f t="shared" si="9"/>
        <v>P343</v>
      </c>
      <c r="M114" s="14" t="s">
        <v>115</v>
      </c>
      <c r="N114" s="41" t="s">
        <v>199</v>
      </c>
      <c r="O114" s="8"/>
      <c r="P114" s="8"/>
      <c r="Q114" s="8"/>
      <c r="R114" s="11"/>
      <c r="S114" s="9"/>
      <c r="T114" s="33" t="s">
        <v>4</v>
      </c>
      <c r="U114" s="9" t="s">
        <v>3</v>
      </c>
    </row>
    <row r="115" spans="1:21">
      <c r="A115" s="5">
        <f t="shared" si="6"/>
        <v>114</v>
      </c>
      <c r="B115" s="5" t="s">
        <v>1</v>
      </c>
      <c r="C115" s="19">
        <v>8</v>
      </c>
      <c r="D115" s="5" t="s">
        <v>0</v>
      </c>
      <c r="E115" s="5" t="s">
        <v>1</v>
      </c>
      <c r="F115" s="5" t="s">
        <v>6</v>
      </c>
      <c r="G115" s="16">
        <v>11</v>
      </c>
      <c r="H115" s="22" t="str">
        <f t="shared" si="7"/>
        <v>DO A 11</v>
      </c>
      <c r="I115" s="6"/>
      <c r="J115" s="109"/>
      <c r="K115" s="109"/>
      <c r="L115" s="109"/>
      <c r="M115" s="14"/>
      <c r="N115" s="26"/>
      <c r="O115" s="8"/>
      <c r="P115" s="8"/>
      <c r="Q115" s="8"/>
      <c r="R115" s="11"/>
      <c r="S115" s="9"/>
      <c r="T115" s="33"/>
      <c r="U115" s="9"/>
    </row>
    <row r="116" spans="1:21">
      <c r="A116" s="5">
        <f t="shared" si="6"/>
        <v>115</v>
      </c>
      <c r="B116" s="5" t="s">
        <v>1</v>
      </c>
      <c r="C116" s="19">
        <v>8</v>
      </c>
      <c r="D116" s="5" t="s">
        <v>0</v>
      </c>
      <c r="E116" s="5" t="s">
        <v>1</v>
      </c>
      <c r="F116" s="5" t="s">
        <v>6</v>
      </c>
      <c r="G116" s="16">
        <v>12</v>
      </c>
      <c r="H116" s="22" t="str">
        <f t="shared" si="7"/>
        <v>DO A 12</v>
      </c>
      <c r="I116" s="6"/>
      <c r="J116" s="109"/>
      <c r="K116" s="109"/>
      <c r="L116" s="109" t="str">
        <f t="shared" si="9"/>
        <v/>
      </c>
      <c r="M116" s="14"/>
      <c r="N116" s="44"/>
      <c r="O116" s="44"/>
      <c r="P116" s="44"/>
      <c r="Q116" s="8"/>
      <c r="R116" s="46"/>
      <c r="S116" s="47"/>
      <c r="T116" s="33"/>
      <c r="U116" s="9"/>
    </row>
    <row r="117" spans="1:21">
      <c r="A117" s="5">
        <f t="shared" si="6"/>
        <v>116</v>
      </c>
      <c r="B117" s="5" t="s">
        <v>1</v>
      </c>
      <c r="C117" s="19">
        <v>8</v>
      </c>
      <c r="D117" s="5" t="s">
        <v>0</v>
      </c>
      <c r="E117" s="5" t="s">
        <v>1</v>
      </c>
      <c r="F117" s="5" t="s">
        <v>6</v>
      </c>
      <c r="G117" s="16">
        <v>13</v>
      </c>
      <c r="H117" s="22" t="str">
        <f t="shared" si="7"/>
        <v>DO A 13</v>
      </c>
      <c r="I117" s="6"/>
      <c r="J117" s="109"/>
      <c r="K117" s="109"/>
      <c r="L117" s="109" t="str">
        <f t="shared" si="9"/>
        <v/>
      </c>
      <c r="M117" s="14"/>
      <c r="N117" s="38"/>
      <c r="O117" s="8"/>
      <c r="P117" s="8"/>
      <c r="Q117" s="8"/>
      <c r="R117" s="11"/>
      <c r="S117" s="9"/>
      <c r="T117" s="33"/>
      <c r="U117" s="9"/>
    </row>
    <row r="118" spans="1:21" ht="16.5" customHeight="1">
      <c r="A118" s="5">
        <f t="shared" si="6"/>
        <v>117</v>
      </c>
      <c r="B118" s="5" t="s">
        <v>1</v>
      </c>
      <c r="C118" s="19">
        <v>8</v>
      </c>
      <c r="D118" s="5" t="s">
        <v>0</v>
      </c>
      <c r="E118" s="5" t="s">
        <v>1</v>
      </c>
      <c r="F118" s="5" t="s">
        <v>6</v>
      </c>
      <c r="G118" s="16">
        <v>14</v>
      </c>
      <c r="H118" s="22" t="str">
        <f t="shared" si="7"/>
        <v>DO A 14</v>
      </c>
      <c r="I118" s="6"/>
      <c r="J118" s="109" t="s">
        <v>83</v>
      </c>
      <c r="K118" s="109">
        <v>501</v>
      </c>
      <c r="L118" s="109" t="str">
        <f t="shared" si="9"/>
        <v>SV501</v>
      </c>
      <c r="M118" s="14" t="s">
        <v>116</v>
      </c>
      <c r="N118" s="38" t="s">
        <v>156</v>
      </c>
      <c r="O118" s="8"/>
      <c r="P118" s="8"/>
      <c r="Q118" s="44"/>
      <c r="R118" s="11"/>
      <c r="S118" s="9"/>
      <c r="T118" s="33" t="s">
        <v>19</v>
      </c>
      <c r="U118" s="9" t="s">
        <v>3</v>
      </c>
    </row>
    <row r="119" spans="1:21">
      <c r="A119" s="5">
        <f t="shared" si="6"/>
        <v>118</v>
      </c>
      <c r="B119" s="5" t="s">
        <v>1</v>
      </c>
      <c r="C119" s="19">
        <v>8</v>
      </c>
      <c r="D119" s="5" t="s">
        <v>0</v>
      </c>
      <c r="E119" s="5" t="s">
        <v>1</v>
      </c>
      <c r="F119" s="5" t="s">
        <v>6</v>
      </c>
      <c r="G119" s="16">
        <v>15</v>
      </c>
      <c r="H119" s="22" t="str">
        <f t="shared" si="7"/>
        <v>DO A 15</v>
      </c>
      <c r="I119" s="6"/>
      <c r="J119" s="109" t="s">
        <v>83</v>
      </c>
      <c r="K119" s="109">
        <v>502</v>
      </c>
      <c r="L119" s="109" t="str">
        <f t="shared" si="9"/>
        <v>SV502</v>
      </c>
      <c r="M119" s="14" t="s">
        <v>117</v>
      </c>
      <c r="N119" s="38" t="s">
        <v>157</v>
      </c>
      <c r="O119" s="8"/>
      <c r="P119" s="8"/>
      <c r="Q119" s="8"/>
      <c r="R119" s="11"/>
      <c r="S119" s="9"/>
      <c r="T119" s="33" t="s">
        <v>19</v>
      </c>
      <c r="U119" s="9" t="s">
        <v>3</v>
      </c>
    </row>
    <row r="120" spans="1:21" ht="17.25" customHeight="1">
      <c r="A120" s="5">
        <f t="shared" si="6"/>
        <v>119</v>
      </c>
      <c r="B120" s="5" t="s">
        <v>1</v>
      </c>
      <c r="C120" s="19">
        <v>8</v>
      </c>
      <c r="D120" s="5" t="s">
        <v>0</v>
      </c>
      <c r="E120" s="5" t="s">
        <v>1</v>
      </c>
      <c r="F120" s="5" t="s">
        <v>6</v>
      </c>
      <c r="G120" s="16">
        <v>16</v>
      </c>
      <c r="H120" s="22" t="str">
        <f t="shared" si="7"/>
        <v>DO A 16</v>
      </c>
      <c r="I120" s="6"/>
      <c r="J120" s="112" t="s">
        <v>101</v>
      </c>
      <c r="K120" s="112">
        <v>123</v>
      </c>
      <c r="L120" s="112" t="str">
        <f t="shared" si="9"/>
        <v>BV123</v>
      </c>
      <c r="M120" s="14" t="s">
        <v>93</v>
      </c>
      <c r="N120" s="38" t="s">
        <v>271</v>
      </c>
      <c r="O120" s="8"/>
      <c r="P120" s="8"/>
      <c r="Q120" s="8"/>
      <c r="R120" s="11"/>
      <c r="S120" s="9"/>
      <c r="T120" s="33" t="s">
        <v>19</v>
      </c>
      <c r="U120" s="9" t="s">
        <v>3</v>
      </c>
    </row>
    <row r="121" spans="1:21" ht="17.25" customHeight="1">
      <c r="A121" s="5">
        <f t="shared" si="6"/>
        <v>120</v>
      </c>
      <c r="B121" s="5" t="s">
        <v>1</v>
      </c>
      <c r="C121" s="19">
        <v>8</v>
      </c>
      <c r="D121" s="5" t="s">
        <v>0</v>
      </c>
      <c r="E121" s="5" t="s">
        <v>1</v>
      </c>
      <c r="F121" s="5" t="s">
        <v>6</v>
      </c>
      <c r="G121" s="16">
        <v>17</v>
      </c>
      <c r="H121" s="22" t="str">
        <f t="shared" si="7"/>
        <v>DO A 17</v>
      </c>
      <c r="I121" s="6"/>
      <c r="J121" s="112" t="s">
        <v>101</v>
      </c>
      <c r="K121" s="112">
        <v>133</v>
      </c>
      <c r="L121" s="112" t="str">
        <f t="shared" si="9"/>
        <v>BV133</v>
      </c>
      <c r="M121" s="14" t="s">
        <v>94</v>
      </c>
      <c r="N121" s="8" t="s">
        <v>160</v>
      </c>
      <c r="O121" s="8"/>
      <c r="P121" s="8"/>
      <c r="Q121" s="8"/>
      <c r="R121" s="11"/>
      <c r="S121" s="9"/>
      <c r="T121" s="33" t="s">
        <v>4</v>
      </c>
      <c r="U121" s="9" t="s">
        <v>3</v>
      </c>
    </row>
    <row r="122" spans="1:21" ht="17.25" customHeight="1">
      <c r="A122" s="5">
        <f t="shared" si="6"/>
        <v>121</v>
      </c>
      <c r="B122" s="5" t="s">
        <v>1</v>
      </c>
      <c r="C122" s="19">
        <v>8</v>
      </c>
      <c r="D122" s="5" t="s">
        <v>0</v>
      </c>
      <c r="E122" s="5" t="s">
        <v>1</v>
      </c>
      <c r="F122" s="5" t="s">
        <v>6</v>
      </c>
      <c r="G122" s="16">
        <v>18</v>
      </c>
      <c r="H122" s="22" t="str">
        <f t="shared" si="7"/>
        <v>DO A 18</v>
      </c>
      <c r="I122" s="6"/>
      <c r="J122" s="112" t="s">
        <v>101</v>
      </c>
      <c r="K122" s="112">
        <v>155</v>
      </c>
      <c r="L122" s="112" t="str">
        <f t="shared" si="9"/>
        <v>BV155</v>
      </c>
      <c r="M122" s="14" t="s">
        <v>95</v>
      </c>
      <c r="N122" s="26" t="s">
        <v>241</v>
      </c>
      <c r="O122" s="8"/>
      <c r="P122" s="8"/>
      <c r="Q122" s="8"/>
      <c r="R122" s="11"/>
      <c r="S122" s="9"/>
      <c r="T122" s="33" t="s">
        <v>4</v>
      </c>
      <c r="U122" s="9" t="s">
        <v>3</v>
      </c>
    </row>
    <row r="123" spans="1:21" ht="17.25" customHeight="1">
      <c r="A123" s="5">
        <f t="shared" si="6"/>
        <v>122</v>
      </c>
      <c r="B123" s="5" t="s">
        <v>1</v>
      </c>
      <c r="C123" s="19">
        <v>8</v>
      </c>
      <c r="D123" s="5" t="s">
        <v>0</v>
      </c>
      <c r="E123" s="5" t="s">
        <v>1</v>
      </c>
      <c r="F123" s="5" t="s">
        <v>6</v>
      </c>
      <c r="G123" s="16">
        <v>19</v>
      </c>
      <c r="H123" s="22" t="str">
        <f t="shared" si="7"/>
        <v>DO A 19</v>
      </c>
      <c r="I123" s="6"/>
      <c r="J123" s="112" t="s">
        <v>101</v>
      </c>
      <c r="K123" s="112">
        <v>161</v>
      </c>
      <c r="L123" s="112" t="str">
        <f t="shared" si="9"/>
        <v>BV161</v>
      </c>
      <c r="M123" s="14" t="s">
        <v>96</v>
      </c>
      <c r="N123" s="26" t="s">
        <v>161</v>
      </c>
      <c r="O123" s="8"/>
      <c r="P123" s="8"/>
      <c r="Q123" s="8"/>
      <c r="R123" s="11"/>
      <c r="S123" s="9"/>
      <c r="T123" s="33" t="s">
        <v>4</v>
      </c>
      <c r="U123" s="9" t="s">
        <v>3</v>
      </c>
    </row>
    <row r="124" spans="1:21" ht="17.25" customHeight="1">
      <c r="A124" s="5">
        <f t="shared" si="6"/>
        <v>123</v>
      </c>
      <c r="B124" s="5" t="s">
        <v>1</v>
      </c>
      <c r="C124" s="19">
        <v>8</v>
      </c>
      <c r="D124" s="5" t="s">
        <v>0</v>
      </c>
      <c r="E124" s="5" t="s">
        <v>1</v>
      </c>
      <c r="F124" s="5" t="s">
        <v>6</v>
      </c>
      <c r="G124" s="16">
        <v>20</v>
      </c>
      <c r="H124" s="22" t="str">
        <f t="shared" si="7"/>
        <v>DO A 20</v>
      </c>
      <c r="I124" s="6"/>
      <c r="J124" s="112" t="s">
        <v>101</v>
      </c>
      <c r="K124" s="112">
        <v>166</v>
      </c>
      <c r="L124" s="112" t="str">
        <f>$J124 &amp; $K124</f>
        <v>BV166</v>
      </c>
      <c r="M124" s="14" t="s">
        <v>97</v>
      </c>
      <c r="N124" s="8" t="s">
        <v>162</v>
      </c>
      <c r="O124" s="8"/>
      <c r="P124" s="8"/>
      <c r="Q124" s="8"/>
      <c r="R124" s="11"/>
      <c r="S124" s="9"/>
      <c r="T124" s="33" t="s">
        <v>4</v>
      </c>
      <c r="U124" s="9" t="s">
        <v>3</v>
      </c>
    </row>
    <row r="125" spans="1:21">
      <c r="A125" s="5">
        <f t="shared" si="6"/>
        <v>124</v>
      </c>
      <c r="B125" s="5" t="s">
        <v>1</v>
      </c>
      <c r="C125" s="19">
        <v>8</v>
      </c>
      <c r="D125" s="5" t="s">
        <v>0</v>
      </c>
      <c r="E125" s="5" t="s">
        <v>1</v>
      </c>
      <c r="F125" s="5" t="s">
        <v>6</v>
      </c>
      <c r="G125" s="16">
        <v>21</v>
      </c>
      <c r="H125" s="22" t="str">
        <f t="shared" si="7"/>
        <v>DO A 21</v>
      </c>
      <c r="I125" s="6"/>
      <c r="J125" s="112" t="s">
        <v>101</v>
      </c>
      <c r="K125" s="112">
        <v>169</v>
      </c>
      <c r="L125" s="112" t="str">
        <f t="shared" si="9"/>
        <v>BV169</v>
      </c>
      <c r="M125" s="14" t="s">
        <v>98</v>
      </c>
      <c r="N125" s="26" t="s">
        <v>163</v>
      </c>
      <c r="O125" s="8"/>
      <c r="P125" s="8"/>
      <c r="Q125" s="8"/>
      <c r="R125" s="11"/>
      <c r="S125" s="9"/>
      <c r="T125" s="33" t="s">
        <v>4</v>
      </c>
      <c r="U125" s="9" t="s">
        <v>3</v>
      </c>
    </row>
    <row r="126" spans="1:21">
      <c r="A126" s="5">
        <f t="shared" si="6"/>
        <v>125</v>
      </c>
      <c r="B126" s="5" t="s">
        <v>1</v>
      </c>
      <c r="C126" s="19">
        <v>8</v>
      </c>
      <c r="D126" s="5" t="s">
        <v>0</v>
      </c>
      <c r="E126" s="5" t="s">
        <v>1</v>
      </c>
      <c r="F126" s="5" t="s">
        <v>6</v>
      </c>
      <c r="G126" s="16">
        <v>22</v>
      </c>
      <c r="H126" s="22" t="str">
        <f t="shared" ref="H126:H135" si="10">E126&amp;" "&amp;F126&amp;" "&amp;G126</f>
        <v>DO A 22</v>
      </c>
      <c r="I126" s="6"/>
      <c r="J126" s="112" t="s">
        <v>101</v>
      </c>
      <c r="K126" s="112">
        <v>407</v>
      </c>
      <c r="L126" s="112" t="str">
        <f t="shared" si="9"/>
        <v>BV407</v>
      </c>
      <c r="M126" s="14" t="s">
        <v>99</v>
      </c>
      <c r="N126" s="38" t="s">
        <v>177</v>
      </c>
      <c r="O126" s="8"/>
      <c r="P126" s="8"/>
      <c r="Q126" s="8"/>
      <c r="R126" s="11"/>
      <c r="S126" s="9"/>
      <c r="T126" s="33" t="s">
        <v>4</v>
      </c>
      <c r="U126" s="9" t="s">
        <v>3</v>
      </c>
    </row>
    <row r="127" spans="1:21">
      <c r="A127" s="5">
        <f t="shared" si="6"/>
        <v>126</v>
      </c>
      <c r="B127" s="5" t="s">
        <v>1</v>
      </c>
      <c r="C127" s="19">
        <v>8</v>
      </c>
      <c r="D127" s="5" t="s">
        <v>0</v>
      </c>
      <c r="E127" s="5" t="s">
        <v>1</v>
      </c>
      <c r="F127" s="5" t="s">
        <v>6</v>
      </c>
      <c r="G127" s="16">
        <v>23</v>
      </c>
      <c r="H127" s="22" t="str">
        <f t="shared" si="10"/>
        <v>DO A 23</v>
      </c>
      <c r="I127" s="6"/>
      <c r="J127" s="112" t="s">
        <v>101</v>
      </c>
      <c r="K127" s="112">
        <v>410</v>
      </c>
      <c r="L127" s="112" t="str">
        <f t="shared" si="9"/>
        <v>BV410</v>
      </c>
      <c r="M127" s="14" t="s">
        <v>100</v>
      </c>
      <c r="N127" s="26" t="s">
        <v>222</v>
      </c>
      <c r="O127" s="8"/>
      <c r="P127" s="8"/>
      <c r="Q127" s="8"/>
      <c r="R127" s="11"/>
      <c r="S127" s="9"/>
      <c r="T127" s="33" t="s">
        <v>4</v>
      </c>
      <c r="U127" s="9" t="s">
        <v>3</v>
      </c>
    </row>
    <row r="128" spans="1:21">
      <c r="A128" s="5">
        <f t="shared" si="6"/>
        <v>127</v>
      </c>
      <c r="B128" s="5" t="s">
        <v>1</v>
      </c>
      <c r="C128" s="19">
        <v>8</v>
      </c>
      <c r="D128" s="5" t="s">
        <v>0</v>
      </c>
      <c r="E128" s="5" t="s">
        <v>1</v>
      </c>
      <c r="F128" s="5" t="s">
        <v>6</v>
      </c>
      <c r="G128" s="16">
        <v>24</v>
      </c>
      <c r="H128" s="22" t="str">
        <f t="shared" si="10"/>
        <v>DO A 24</v>
      </c>
      <c r="I128" s="6"/>
      <c r="J128" s="122" t="s">
        <v>102</v>
      </c>
      <c r="K128" s="122" t="s">
        <v>103</v>
      </c>
      <c r="L128" s="122" t="str">
        <f t="shared" si="9"/>
        <v>MC SW</v>
      </c>
      <c r="M128" s="14" t="s">
        <v>107</v>
      </c>
      <c r="N128" s="26" t="s">
        <v>104</v>
      </c>
      <c r="O128" s="8"/>
      <c r="P128" s="8"/>
      <c r="Q128" s="8"/>
      <c r="R128" s="11"/>
      <c r="S128" s="9"/>
      <c r="T128" s="33" t="s">
        <v>4</v>
      </c>
      <c r="U128" s="9" t="s">
        <v>3</v>
      </c>
    </row>
    <row r="129" spans="1:21">
      <c r="A129" s="5">
        <f t="shared" si="6"/>
        <v>128</v>
      </c>
      <c r="B129" s="5" t="s">
        <v>1</v>
      </c>
      <c r="C129" s="19">
        <v>8</v>
      </c>
      <c r="D129" s="5" t="s">
        <v>0</v>
      </c>
      <c r="E129" s="5" t="s">
        <v>1</v>
      </c>
      <c r="F129" s="5" t="s">
        <v>6</v>
      </c>
      <c r="G129" s="16">
        <v>25</v>
      </c>
      <c r="H129" s="22" t="str">
        <f t="shared" si="10"/>
        <v>DO A 25</v>
      </c>
      <c r="I129" s="6"/>
      <c r="J129" s="122" t="s">
        <v>105</v>
      </c>
      <c r="K129" s="122">
        <v>192</v>
      </c>
      <c r="L129" s="122" t="str">
        <f t="shared" si="9"/>
        <v>IGN192</v>
      </c>
      <c r="M129" s="14" t="s">
        <v>110</v>
      </c>
      <c r="N129" s="8" t="s">
        <v>106</v>
      </c>
      <c r="O129" s="8"/>
      <c r="P129" s="8"/>
      <c r="Q129" s="8"/>
      <c r="R129" s="11"/>
      <c r="S129" s="9"/>
      <c r="T129" s="33" t="s">
        <v>4</v>
      </c>
      <c r="U129" s="9" t="s">
        <v>3</v>
      </c>
    </row>
    <row r="130" spans="1:21">
      <c r="A130" s="5">
        <f t="shared" si="6"/>
        <v>129</v>
      </c>
      <c r="B130" s="5" t="s">
        <v>1</v>
      </c>
      <c r="C130" s="19">
        <v>8</v>
      </c>
      <c r="D130" s="5" t="s">
        <v>0</v>
      </c>
      <c r="E130" s="5" t="s">
        <v>1</v>
      </c>
      <c r="F130" s="5" t="s">
        <v>6</v>
      </c>
      <c r="G130" s="16">
        <v>26</v>
      </c>
      <c r="H130" s="22" t="str">
        <f t="shared" si="10"/>
        <v>DO A 26</v>
      </c>
      <c r="I130" s="6"/>
      <c r="J130" s="122" t="s">
        <v>84</v>
      </c>
      <c r="K130" s="122">
        <v>198</v>
      </c>
      <c r="L130" s="122" t="str">
        <f t="shared" si="9"/>
        <v>HT198</v>
      </c>
      <c r="M130" s="14" t="s">
        <v>108</v>
      </c>
      <c r="N130" s="8" t="s">
        <v>200</v>
      </c>
      <c r="O130" s="8"/>
      <c r="P130" s="8"/>
      <c r="Q130" s="8"/>
      <c r="R130" s="11"/>
      <c r="S130" s="9"/>
      <c r="T130" s="33" t="s">
        <v>4</v>
      </c>
      <c r="U130" s="9" t="s">
        <v>3</v>
      </c>
    </row>
    <row r="131" spans="1:21">
      <c r="A131" s="5">
        <f t="shared" si="6"/>
        <v>130</v>
      </c>
      <c r="B131" s="5" t="s">
        <v>1</v>
      </c>
      <c r="C131" s="19">
        <v>8</v>
      </c>
      <c r="D131" s="5" t="s">
        <v>0</v>
      </c>
      <c r="E131" s="5" t="s">
        <v>1</v>
      </c>
      <c r="F131" s="5" t="s">
        <v>6</v>
      </c>
      <c r="G131" s="16">
        <v>27</v>
      </c>
      <c r="H131" s="22" t="str">
        <f t="shared" si="10"/>
        <v>DO A 27</v>
      </c>
      <c r="I131" s="6"/>
      <c r="J131" s="122" t="s">
        <v>84</v>
      </c>
      <c r="K131" s="122">
        <v>199</v>
      </c>
      <c r="L131" s="122" t="str">
        <f t="shared" si="9"/>
        <v>HT199</v>
      </c>
      <c r="M131" s="14" t="s">
        <v>109</v>
      </c>
      <c r="N131" s="26" t="s">
        <v>201</v>
      </c>
      <c r="O131" s="8"/>
      <c r="P131" s="8"/>
      <c r="Q131" s="8"/>
      <c r="R131" s="11"/>
      <c r="S131" s="9"/>
      <c r="T131" s="33" t="s">
        <v>4</v>
      </c>
      <c r="U131" s="9" t="s">
        <v>3</v>
      </c>
    </row>
    <row r="132" spans="1:21">
      <c r="A132" s="5">
        <f t="shared" si="6"/>
        <v>131</v>
      </c>
      <c r="B132" s="5" t="s">
        <v>1</v>
      </c>
      <c r="C132" s="19">
        <v>8</v>
      </c>
      <c r="D132" s="5" t="s">
        <v>0</v>
      </c>
      <c r="E132" s="5" t="s">
        <v>1</v>
      </c>
      <c r="F132" s="5" t="s">
        <v>6</v>
      </c>
      <c r="G132" s="16">
        <v>28</v>
      </c>
      <c r="H132" s="22" t="str">
        <f t="shared" si="10"/>
        <v>DO A 28</v>
      </c>
      <c r="I132" s="6"/>
      <c r="J132" s="37"/>
      <c r="K132" s="37"/>
      <c r="L132" s="5" t="str">
        <f t="shared" si="9"/>
        <v/>
      </c>
      <c r="M132" s="14" t="s">
        <v>108</v>
      </c>
      <c r="N132" s="8"/>
      <c r="O132" s="8"/>
      <c r="P132" s="8"/>
      <c r="Q132" s="8"/>
      <c r="R132" s="11"/>
      <c r="S132" s="9"/>
      <c r="T132" s="33"/>
      <c r="U132" s="9"/>
    </row>
    <row r="133" spans="1:21">
      <c r="A133" s="5">
        <f>IF($H133="","",ROW()-1)</f>
        <v>132</v>
      </c>
      <c r="B133" s="5" t="s">
        <v>1</v>
      </c>
      <c r="C133" s="19">
        <v>8</v>
      </c>
      <c r="D133" s="5" t="s">
        <v>0</v>
      </c>
      <c r="E133" s="5" t="s">
        <v>1</v>
      </c>
      <c r="F133" s="5" t="s">
        <v>6</v>
      </c>
      <c r="G133" s="16">
        <v>29</v>
      </c>
      <c r="H133" s="22" t="str">
        <f t="shared" si="10"/>
        <v>DO A 29</v>
      </c>
      <c r="I133" s="6"/>
      <c r="J133" s="5"/>
      <c r="K133" s="5"/>
      <c r="L133" s="5" t="str">
        <f t="shared" si="9"/>
        <v/>
      </c>
      <c r="M133" s="14" t="s">
        <v>109</v>
      </c>
      <c r="N133" s="26"/>
      <c r="O133" s="8"/>
      <c r="P133" s="8"/>
      <c r="Q133" s="8"/>
      <c r="R133" s="11"/>
      <c r="S133" s="9"/>
      <c r="T133" s="33"/>
      <c r="U133" s="9"/>
    </row>
    <row r="134" spans="1:21">
      <c r="A134" s="5">
        <f>IF($H134="","",ROW()-1)</f>
        <v>133</v>
      </c>
      <c r="B134" s="5" t="s">
        <v>1</v>
      </c>
      <c r="C134" s="19">
        <v>8</v>
      </c>
      <c r="D134" s="5" t="s">
        <v>0</v>
      </c>
      <c r="E134" s="5" t="s">
        <v>1</v>
      </c>
      <c r="F134" s="5" t="s">
        <v>6</v>
      </c>
      <c r="G134" s="16">
        <v>30</v>
      </c>
      <c r="H134" s="22" t="str">
        <f t="shared" si="10"/>
        <v>DO A 30</v>
      </c>
      <c r="I134" s="6"/>
      <c r="J134" s="37"/>
      <c r="K134" s="37"/>
      <c r="L134" s="5" t="str">
        <f t="shared" si="9"/>
        <v/>
      </c>
      <c r="M134" s="14" t="s">
        <v>111</v>
      </c>
      <c r="N134" s="8"/>
      <c r="O134" s="8"/>
      <c r="P134" s="94"/>
      <c r="Q134" s="8"/>
      <c r="R134" s="11"/>
      <c r="S134" s="9"/>
      <c r="T134" s="33"/>
      <c r="U134" s="9"/>
    </row>
    <row r="135" spans="1:21">
      <c r="A135" s="5">
        <f>IF($H135="","",ROW()-1)</f>
        <v>134</v>
      </c>
      <c r="B135" s="5" t="s">
        <v>1</v>
      </c>
      <c r="C135" s="19">
        <v>8</v>
      </c>
      <c r="D135" s="5" t="s">
        <v>0</v>
      </c>
      <c r="E135" s="5" t="s">
        <v>1</v>
      </c>
      <c r="F135" s="5" t="s">
        <v>6</v>
      </c>
      <c r="G135" s="16">
        <v>31</v>
      </c>
      <c r="H135" s="22" t="str">
        <f t="shared" si="10"/>
        <v>DO A 31</v>
      </c>
      <c r="I135" s="6"/>
      <c r="J135" s="5"/>
      <c r="K135" s="5"/>
      <c r="L135" s="5" t="str">
        <f t="shared" si="9"/>
        <v/>
      </c>
      <c r="M135" s="14" t="s">
        <v>112</v>
      </c>
      <c r="N135" s="26"/>
      <c r="O135" s="8"/>
      <c r="P135" s="95"/>
      <c r="Q135" s="8"/>
      <c r="R135" s="11"/>
      <c r="S135" s="9"/>
      <c r="T135" s="33"/>
      <c r="U135" s="9"/>
    </row>
    <row r="136" spans="1:21">
      <c r="A136" s="2"/>
      <c r="B136" s="2"/>
      <c r="C136" s="20"/>
      <c r="D136" s="2"/>
      <c r="E136" s="2"/>
      <c r="F136" s="2"/>
      <c r="G136" s="17"/>
      <c r="H136" s="23"/>
      <c r="I136" s="2"/>
      <c r="J136" s="2"/>
      <c r="K136" s="2"/>
      <c r="L136" s="31"/>
      <c r="M136" s="2"/>
      <c r="N136" s="2"/>
      <c r="O136" s="3"/>
      <c r="P136" s="93"/>
      <c r="Q136" s="94"/>
      <c r="R136" s="4"/>
      <c r="S136" s="4"/>
      <c r="T136" s="2"/>
      <c r="U136" s="4"/>
    </row>
    <row r="137" spans="1:21">
      <c r="A137" s="2"/>
      <c r="B137" s="2"/>
      <c r="C137" s="20"/>
      <c r="D137" s="2"/>
      <c r="E137" s="2"/>
      <c r="F137" s="2"/>
      <c r="G137" s="17"/>
      <c r="H137" s="23"/>
      <c r="I137" s="2"/>
      <c r="J137" s="2"/>
      <c r="K137" s="2"/>
      <c r="L137" s="31"/>
      <c r="M137" s="2"/>
      <c r="N137" s="2"/>
      <c r="O137" s="4"/>
      <c r="P137" s="3"/>
      <c r="Q137" s="95"/>
      <c r="R137" s="10"/>
      <c r="S137" s="2"/>
      <c r="T137" s="2"/>
      <c r="U137" s="2"/>
    </row>
    <row r="138" spans="1:21">
      <c r="A138" s="2"/>
      <c r="B138" s="2"/>
      <c r="C138" s="20"/>
      <c r="D138" s="2"/>
      <c r="E138" s="2"/>
      <c r="F138" s="2"/>
      <c r="G138" s="17"/>
      <c r="H138" s="23"/>
      <c r="I138" s="2"/>
      <c r="J138" s="2"/>
      <c r="K138" s="2"/>
      <c r="L138" s="31" t="e">
        <f t="shared" ref="L138:L143" ca="1" si="11">_xlfn.CONCAT(J138:K138)</f>
        <v>#NAME?</v>
      </c>
      <c r="M138" s="2"/>
      <c r="N138" s="2"/>
      <c r="O138" s="4"/>
      <c r="P138" s="4"/>
      <c r="Q138" s="93"/>
      <c r="R138" s="10"/>
      <c r="S138" s="2"/>
      <c r="T138" s="2"/>
      <c r="U138" s="2"/>
    </row>
    <row r="139" spans="1:21">
      <c r="A139" s="2"/>
      <c r="B139" s="2"/>
      <c r="C139" s="20"/>
      <c r="D139" s="2"/>
      <c r="E139" s="2"/>
      <c r="F139" s="2"/>
      <c r="G139" s="17"/>
      <c r="H139" s="23"/>
      <c r="I139" s="2"/>
      <c r="J139" s="2"/>
      <c r="K139" s="2"/>
      <c r="L139" s="31" t="e">
        <f t="shared" ca="1" si="11"/>
        <v>#NAME?</v>
      </c>
      <c r="M139" s="2"/>
      <c r="N139" s="2"/>
      <c r="O139" s="2"/>
      <c r="P139" s="3"/>
      <c r="Q139" s="3"/>
      <c r="R139" s="10"/>
      <c r="S139" s="2"/>
      <c r="T139" s="2"/>
      <c r="U139" s="2"/>
    </row>
    <row r="140" spans="1:21">
      <c r="A140" s="2"/>
      <c r="B140" s="2"/>
      <c r="C140" s="20"/>
      <c r="D140" s="2"/>
      <c r="E140" s="2"/>
      <c r="F140" s="2"/>
      <c r="G140" s="17"/>
      <c r="H140" s="23"/>
      <c r="I140" s="2"/>
      <c r="J140" s="2"/>
      <c r="K140" s="2"/>
      <c r="L140" s="31" t="e">
        <f t="shared" ca="1" si="11"/>
        <v>#NAME?</v>
      </c>
      <c r="M140" s="2"/>
      <c r="N140" s="2"/>
      <c r="O140" s="4"/>
      <c r="P140" s="4"/>
      <c r="Q140" s="4"/>
      <c r="R140" s="10"/>
      <c r="S140" s="2"/>
      <c r="T140" s="2"/>
      <c r="U140" s="2"/>
    </row>
    <row r="141" spans="1:21">
      <c r="A141" s="2"/>
      <c r="B141" s="2"/>
      <c r="C141" s="20"/>
      <c r="D141" s="2"/>
      <c r="E141" s="2"/>
      <c r="F141" s="2"/>
      <c r="G141" s="17"/>
      <c r="H141" s="23"/>
      <c r="I141" s="2"/>
      <c r="J141" s="2"/>
      <c r="K141" s="2"/>
      <c r="L141" s="31" t="e">
        <f t="shared" ca="1" si="11"/>
        <v>#NAME?</v>
      </c>
      <c r="M141" s="2"/>
      <c r="N141" s="2"/>
      <c r="O141" s="2"/>
      <c r="P141" s="3"/>
      <c r="Q141" s="3"/>
      <c r="R141" s="10"/>
      <c r="S141" s="2"/>
      <c r="T141" s="2"/>
      <c r="U141" s="2"/>
    </row>
    <row r="142" spans="1:21">
      <c r="A142" s="2"/>
      <c r="B142" s="2"/>
      <c r="C142" s="20"/>
      <c r="D142" s="2"/>
      <c r="E142" s="2"/>
      <c r="F142" s="2"/>
      <c r="G142" s="17"/>
      <c r="H142" s="23"/>
      <c r="I142" s="2"/>
      <c r="J142" s="2"/>
      <c r="K142" s="2"/>
      <c r="L142" s="31" t="e">
        <f t="shared" ca="1" si="11"/>
        <v>#NAME?</v>
      </c>
      <c r="M142" s="2"/>
      <c r="N142" s="2"/>
      <c r="O142" s="4"/>
      <c r="P142" s="4"/>
      <c r="Q142" s="4"/>
      <c r="R142" s="10"/>
      <c r="S142" s="2"/>
      <c r="T142" s="2"/>
      <c r="U142" s="2"/>
    </row>
    <row r="143" spans="1:21">
      <c r="A143" s="2"/>
      <c r="B143" s="2"/>
      <c r="C143" s="20"/>
      <c r="D143" s="2"/>
      <c r="E143" s="2"/>
      <c r="F143" s="2"/>
      <c r="G143" s="17"/>
      <c r="H143" s="23"/>
      <c r="I143" s="2"/>
      <c r="J143" s="2"/>
      <c r="K143" s="2"/>
      <c r="L143" s="31" t="e">
        <f t="shared" ca="1" si="11"/>
        <v>#NAME?</v>
      </c>
      <c r="M143" s="2"/>
      <c r="N143" s="2"/>
      <c r="O143" s="2"/>
      <c r="P143" s="3"/>
      <c r="Q143" s="3"/>
      <c r="R143" s="10"/>
      <c r="S143" s="2"/>
      <c r="T143" s="2"/>
      <c r="U143" s="2"/>
    </row>
    <row r="144" spans="1:21">
      <c r="Q144" s="4"/>
    </row>
    <row r="145" spans="8:20">
      <c r="Q145" s="3"/>
    </row>
    <row r="146" spans="8:20" ht="49.5" customHeight="1">
      <c r="H146" s="1"/>
      <c r="I146" s="12"/>
      <c r="J146" s="1"/>
      <c r="K146" s="1"/>
      <c r="L146" s="12"/>
      <c r="M146" s="13"/>
      <c r="N146" s="1"/>
      <c r="O146" s="1"/>
      <c r="R146" s="12"/>
      <c r="T146" s="1"/>
    </row>
  </sheetData>
  <autoFilter ref="A1:U135" xr:uid="{00000000-0009-0000-0000-000000000000}">
    <sortState xmlns:xlrd2="http://schemas.microsoft.com/office/spreadsheetml/2017/richdata2" ref="A2:U135">
      <sortCondition ref="A1:A135"/>
    </sortState>
  </autoFilter>
  <mergeCells count="1">
    <mergeCell ref="M77:M78"/>
  </mergeCells>
  <phoneticPr fontId="1" type="noConversion"/>
  <conditionalFormatting sqref="N17:N28 P50:Q51 Q52:Q53 P52:P65">
    <cfRule type="expression" dxfId="134" priority="179">
      <formula>$C17="CITYGAS"</formula>
    </cfRule>
    <cfRule type="expression" dxfId="133" priority="182">
      <formula>$C17="AIR"</formula>
    </cfRule>
    <cfRule type="expression" dxfId="132" priority="178">
      <formula>$C17="ETC"</formula>
    </cfRule>
    <cfRule type="expression" dxfId="131" priority="181">
      <formula>$C17="DIWATER"</formula>
    </cfRule>
    <cfRule type="expression" dxfId="130" priority="180">
      <formula>$C17="COGEN"</formula>
    </cfRule>
  </conditionalFormatting>
  <conditionalFormatting sqref="N30:N36">
    <cfRule type="expression" dxfId="129" priority="76">
      <formula>$C30="ETC"</formula>
    </cfRule>
    <cfRule type="expression" dxfId="128" priority="77">
      <formula>$C30="CITYGAS"</formula>
    </cfRule>
    <cfRule type="expression" dxfId="127" priority="78">
      <formula>$C30="COGEN"</formula>
    </cfRule>
    <cfRule type="expression" dxfId="126" priority="79">
      <formula>$C30="DIWATER"</formula>
    </cfRule>
    <cfRule type="expression" dxfId="125" priority="80">
      <formula>$C30="AIR"</formula>
    </cfRule>
  </conditionalFormatting>
  <conditionalFormatting sqref="N44:N49">
    <cfRule type="expression" dxfId="124" priority="57">
      <formula>$C44="CITYGAS"</formula>
    </cfRule>
    <cfRule type="expression" dxfId="123" priority="56">
      <formula>$C44="ETC"</formula>
    </cfRule>
    <cfRule type="expression" dxfId="122" priority="58">
      <formula>$C44="COGEN"</formula>
    </cfRule>
    <cfRule type="expression" dxfId="121" priority="59">
      <formula>$C44="DIWATER"</formula>
    </cfRule>
    <cfRule type="expression" dxfId="120" priority="60">
      <formula>$C44="AIR"</formula>
    </cfRule>
  </conditionalFormatting>
  <conditionalFormatting sqref="N67:N70">
    <cfRule type="expression" dxfId="119" priority="36">
      <formula>$C67="ETC"</formula>
    </cfRule>
    <cfRule type="expression" dxfId="118" priority="37">
      <formula>$C67="CITYGAS"</formula>
    </cfRule>
    <cfRule type="expression" dxfId="117" priority="38">
      <formula>$C67="COGEN"</formula>
    </cfRule>
    <cfRule type="expression" dxfId="116" priority="39">
      <formula>$C67="DIWATER"</formula>
    </cfRule>
    <cfRule type="expression" dxfId="115" priority="40">
      <formula>$C67="AIR"</formula>
    </cfRule>
  </conditionalFormatting>
  <conditionalFormatting sqref="N76:N85">
    <cfRule type="expression" dxfId="114" priority="6">
      <formula>$C76="ETC"</formula>
    </cfRule>
    <cfRule type="expression" dxfId="113" priority="7">
      <formula>$C76="CITYGAS"</formula>
    </cfRule>
    <cfRule type="expression" dxfId="112" priority="8">
      <formula>$C76="COGEN"</formula>
    </cfRule>
    <cfRule type="expression" dxfId="111" priority="9">
      <formula>$C76="DIWATER"</formula>
    </cfRule>
    <cfRule type="expression" dxfId="110" priority="10">
      <formula>$C76="AIR"</formula>
    </cfRule>
  </conditionalFormatting>
  <conditionalFormatting sqref="N87:N96">
    <cfRule type="expression" dxfId="109" priority="191">
      <formula>$C87="DIWATER"</formula>
    </cfRule>
    <cfRule type="expression" dxfId="108" priority="188">
      <formula>$C87="ETC"</formula>
    </cfRule>
    <cfRule type="expression" dxfId="107" priority="189">
      <formula>$C87="CITYGAS"</formula>
    </cfRule>
    <cfRule type="expression" dxfId="106" priority="190">
      <formula>$C87="COGEN"</formula>
    </cfRule>
    <cfRule type="expression" dxfId="105" priority="192">
      <formula>$C87="AIR"</formula>
    </cfRule>
  </conditionalFormatting>
  <conditionalFormatting sqref="N98">
    <cfRule type="expression" dxfId="104" priority="209">
      <formula>$C98="CITYGAS"</formula>
    </cfRule>
    <cfRule type="expression" dxfId="103" priority="210">
      <formula>$C98="COGEN"</formula>
    </cfRule>
    <cfRule type="expression" dxfId="102" priority="211">
      <formula>$C98="DIWATER"</formula>
    </cfRule>
    <cfRule type="expression" dxfId="101" priority="212">
      <formula>$C98="AIR"</formula>
    </cfRule>
  </conditionalFormatting>
  <conditionalFormatting sqref="N98:N100">
    <cfRule type="expression" dxfId="100" priority="208">
      <formula>$C98="ETC"</formula>
    </cfRule>
  </conditionalFormatting>
  <conditionalFormatting sqref="N99:N101">
    <cfRule type="expression" dxfId="99" priority="202">
      <formula>$C99="AIR"</formula>
    </cfRule>
    <cfRule type="expression" dxfId="98" priority="201">
      <formula>$C99="DIWATER"</formula>
    </cfRule>
    <cfRule type="expression" dxfId="97" priority="200">
      <formula>$C99="COGEN"</formula>
    </cfRule>
    <cfRule type="expression" dxfId="96" priority="199">
      <formula>$C99="CITYGAS"</formula>
    </cfRule>
  </conditionalFormatting>
  <conditionalFormatting sqref="N99:N102">
    <cfRule type="expression" dxfId="95" priority="198">
      <formula>$C99="ETC"</formula>
    </cfRule>
  </conditionalFormatting>
  <conditionalFormatting sqref="N102:N113">
    <cfRule type="expression" dxfId="94" priority="168">
      <formula>$C102="ETC"</formula>
    </cfRule>
    <cfRule type="expression" dxfId="93" priority="169">
      <formula>$C102="CITYGAS"</formula>
    </cfRule>
    <cfRule type="expression" dxfId="92" priority="171">
      <formula>$C102="DIWATER"</formula>
    </cfRule>
    <cfRule type="expression" dxfId="91" priority="172">
      <formula>$C102="AIR"</formula>
    </cfRule>
    <cfRule type="expression" dxfId="90" priority="170">
      <formula>$C102="COGEN"</formula>
    </cfRule>
  </conditionalFormatting>
  <conditionalFormatting sqref="N116:N120">
    <cfRule type="expression" dxfId="89" priority="193">
      <formula>$C116="ETC"</formula>
    </cfRule>
    <cfRule type="expression" dxfId="88" priority="194">
      <formula>$C116="CITYGAS"</formula>
    </cfRule>
    <cfRule type="expression" dxfId="87" priority="195">
      <formula>$C116="COGEN"</formula>
    </cfRule>
    <cfRule type="expression" dxfId="86" priority="196">
      <formula>$C116="DIWATER"</formula>
    </cfRule>
    <cfRule type="expression" dxfId="85" priority="197">
      <formula>$C116="AIR"</formula>
    </cfRule>
  </conditionalFormatting>
  <conditionalFormatting sqref="N126">
    <cfRule type="expression" dxfId="84" priority="173">
      <formula>$C126="ETC"</formula>
    </cfRule>
    <cfRule type="expression" dxfId="83" priority="177">
      <formula>$C126="AIR"</formula>
    </cfRule>
    <cfRule type="expression" dxfId="82" priority="176">
      <formula>$C126="DIWATER"</formula>
    </cfRule>
    <cfRule type="expression" dxfId="81" priority="175">
      <formula>$C126="COGEN"</formula>
    </cfRule>
    <cfRule type="expression" dxfId="80" priority="174">
      <formula>$C126="CITYGAS"</formula>
    </cfRule>
  </conditionalFormatting>
  <conditionalFormatting sqref="N150:N157">
    <cfRule type="expression" dxfId="79" priority="223">
      <formula>$C150="ETC"</formula>
    </cfRule>
    <cfRule type="expression" dxfId="78" priority="224">
      <formula>$C150="CITYGAS"</formula>
    </cfRule>
    <cfRule type="expression" dxfId="77" priority="225">
      <formula>$C150="COGEN"</formula>
    </cfRule>
    <cfRule type="expression" dxfId="76" priority="226">
      <formula>$C150="DIWATER"</formula>
    </cfRule>
    <cfRule type="expression" dxfId="75" priority="227">
      <formula>$C150="AIR"</formula>
    </cfRule>
  </conditionalFormatting>
  <conditionalFormatting sqref="Q54:Q56 Q58:Q67">
    <cfRule type="expression" dxfId="74" priority="237">
      <formula>$C52="AIR"</formula>
    </cfRule>
    <cfRule type="expression" dxfId="73" priority="233">
      <formula>$C52="ETC"</formula>
    </cfRule>
    <cfRule type="expression" dxfId="72" priority="234">
      <formula>$C52="CITYGAS"</formula>
    </cfRule>
    <cfRule type="expression" dxfId="71" priority="235">
      <formula>$C52="COGEN"</formula>
    </cfRule>
    <cfRule type="expression" dxfId="70" priority="236">
      <formula>$C52="DIWATER"</formula>
    </cfRule>
  </conditionalFormatting>
  <conditionalFormatting sqref="Q57">
    <cfRule type="expression" dxfId="69" priority="4">
      <formula>$C57="DIWATER"</formula>
    </cfRule>
    <cfRule type="expression" dxfId="68" priority="3">
      <formula>$C57="COGEN"</formula>
    </cfRule>
    <cfRule type="expression" dxfId="67" priority="1">
      <formula>$C57="ETC"</formula>
    </cfRule>
    <cfRule type="expression" dxfId="66" priority="5">
      <formula>$C57="AIR"</formula>
    </cfRule>
    <cfRule type="expression" dxfId="65" priority="2">
      <formula>$C57="CITYGAS"</formula>
    </cfRule>
  </conditionalFormatting>
  <hyperlinks>
    <hyperlink ref="Q51" r:id="rId1" xr:uid="{FAE525A2-D5F3-431A-92B9-9761279A11AB}"/>
    <hyperlink ref="Q52:Q53" r:id="rId2" display="https://www.autonics.com/kr/model/PSS-01V-R18" xr:uid="{A16E8C5D-91B1-4E63-81E8-C7E53DA8675F}"/>
    <hyperlink ref="Q57" r:id="rId3" display="https://www.autonics.com/kr/model/PSS-01V-R18" xr:uid="{DE28E6E1-146E-4402-98FF-6BEF0C883D11}"/>
  </hyperlinks>
  <pageMargins left="0.23622047244094491" right="0.23622047244094491" top="0.39370078740157483" bottom="0.39370078740157483" header="0" footer="0"/>
  <pageSetup paperSize="8" scale="57" fitToHeight="0" orientation="landscape" r:id="rId4"/>
  <rowBreaks count="1" manualBreakCount="1">
    <brk id="65" max="19" man="1"/>
  </rowBreaks>
  <ignoredErrors>
    <ignoredError sqref="G10:G29 G1 G66:G103 G50:G57" numberStoredAsText="1"/>
  </ignoredErrors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46"/>
  <sheetViews>
    <sheetView view="pageBreakPreview" topLeftCell="K1" zoomScale="115" zoomScaleNormal="85" zoomScaleSheetLayoutView="115" workbookViewId="0">
      <pane ySplit="1" topLeftCell="A56" activePane="bottomLeft" state="frozen"/>
      <selection activeCell="C1" sqref="C1"/>
      <selection pane="bottomLeft" activeCell="G125" sqref="G125"/>
    </sheetView>
  </sheetViews>
  <sheetFormatPr defaultColWidth="9" defaultRowHeight="16.5"/>
  <cols>
    <col min="1" max="1" width="5" style="12" customWidth="1"/>
    <col min="2" max="2" width="12.125" style="1" customWidth="1"/>
    <col min="3" max="3" width="9" style="21" customWidth="1"/>
    <col min="4" max="4" width="9.875" style="1" customWidth="1"/>
    <col min="5" max="6" width="11.25" style="1" customWidth="1"/>
    <col min="7" max="7" width="9.875" style="18" customWidth="1"/>
    <col min="8" max="8" width="17.25" style="24" customWidth="1"/>
    <col min="9" max="9" width="2.125" style="1" customWidth="1"/>
    <col min="10" max="10" width="12.125" style="12" customWidth="1"/>
    <col min="11" max="11" width="16.75" style="12" customWidth="1"/>
    <col min="12" max="12" width="16.75" style="1" customWidth="1"/>
    <col min="13" max="13" width="15.875" style="1" bestFit="1" customWidth="1"/>
    <col min="14" max="14" width="38" style="12" customWidth="1"/>
    <col min="15" max="15" width="12.125" style="13" customWidth="1"/>
    <col min="16" max="16" width="52.75" style="1" customWidth="1"/>
    <col min="17" max="17" width="14.625" style="1" bestFit="1" customWidth="1"/>
    <col min="18" max="18" width="9.25" style="1" bestFit="1" customWidth="1"/>
    <col min="19" max="19" width="7.375" style="12" bestFit="1" customWidth="1"/>
    <col min="20" max="20" width="7.125" style="1" customWidth="1"/>
    <col min="21" max="16384" width="9" style="1"/>
  </cols>
  <sheetData>
    <row r="1" spans="1:20" ht="33">
      <c r="A1" s="48" t="s">
        <v>36</v>
      </c>
      <c r="B1" s="48" t="s">
        <v>17</v>
      </c>
      <c r="C1" s="49" t="s">
        <v>16</v>
      </c>
      <c r="D1" s="48" t="s">
        <v>15</v>
      </c>
      <c r="E1" s="50" t="s">
        <v>30</v>
      </c>
      <c r="F1" s="50" t="s">
        <v>31</v>
      </c>
      <c r="G1" s="51" t="s">
        <v>32</v>
      </c>
      <c r="H1" s="52" t="s">
        <v>33</v>
      </c>
      <c r="I1" s="53"/>
      <c r="J1" s="54" t="s">
        <v>27</v>
      </c>
      <c r="K1" s="50" t="s">
        <v>26</v>
      </c>
      <c r="L1" s="50" t="s">
        <v>28</v>
      </c>
      <c r="M1" s="55" t="s">
        <v>60</v>
      </c>
      <c r="N1" s="48" t="s">
        <v>14</v>
      </c>
      <c r="O1" s="48" t="s">
        <v>18</v>
      </c>
      <c r="P1" s="48" t="s">
        <v>13</v>
      </c>
      <c r="Q1" s="48" t="s">
        <v>12</v>
      </c>
      <c r="R1" s="50" t="s">
        <v>11</v>
      </c>
      <c r="S1" s="48" t="s">
        <v>10</v>
      </c>
      <c r="T1" s="50" t="s">
        <v>9</v>
      </c>
    </row>
    <row r="2" spans="1:20">
      <c r="A2" s="5">
        <f>IF($H2="","",ROW()-1)</f>
        <v>1</v>
      </c>
      <c r="B2" s="5" t="s">
        <v>37</v>
      </c>
      <c r="C2" s="19">
        <v>1</v>
      </c>
      <c r="D2" s="5" t="s">
        <v>55</v>
      </c>
      <c r="E2" s="5" t="s">
        <v>56</v>
      </c>
      <c r="F2" s="5">
        <v>485</v>
      </c>
      <c r="G2" s="32">
        <v>1</v>
      </c>
      <c r="H2" s="22" t="str">
        <f t="shared" ref="H2:H65" si="0">E2&amp;" "&amp;F2&amp;" "&amp;G2</f>
        <v>RS 485 1</v>
      </c>
      <c r="I2" s="6"/>
      <c r="J2" s="15"/>
      <c r="K2" s="15"/>
      <c r="L2" s="25"/>
      <c r="M2" s="14"/>
      <c r="N2" s="8"/>
      <c r="O2" s="8"/>
      <c r="P2" s="101" t="s">
        <v>228</v>
      </c>
      <c r="Q2" s="9"/>
      <c r="R2" s="9"/>
      <c r="S2" s="5"/>
      <c r="T2" s="9"/>
    </row>
    <row r="3" spans="1:20">
      <c r="A3" s="5">
        <f t="shared" ref="A3:A68" si="1">IF($H3="","",ROW()-1)</f>
        <v>2</v>
      </c>
      <c r="B3" s="5" t="s">
        <v>37</v>
      </c>
      <c r="C3" s="19">
        <v>1</v>
      </c>
      <c r="D3" s="5" t="s">
        <v>55</v>
      </c>
      <c r="E3" s="5" t="s">
        <v>56</v>
      </c>
      <c r="F3" s="5">
        <v>232</v>
      </c>
      <c r="G3" s="32">
        <v>2</v>
      </c>
      <c r="H3" s="22" t="str">
        <f t="shared" si="0"/>
        <v>RS 232 2</v>
      </c>
      <c r="I3" s="6"/>
      <c r="J3" s="15"/>
      <c r="K3" s="15"/>
      <c r="L3" s="25"/>
      <c r="M3" s="14"/>
      <c r="N3" s="8"/>
      <c r="O3" s="8"/>
      <c r="P3" s="101" t="s">
        <v>229</v>
      </c>
      <c r="Q3" s="120" t="s">
        <v>226</v>
      </c>
      <c r="R3" s="103" t="s">
        <v>68</v>
      </c>
      <c r="S3" s="5"/>
      <c r="T3" s="9"/>
    </row>
    <row r="4" spans="1:20">
      <c r="A4" s="5">
        <f t="shared" si="1"/>
        <v>3</v>
      </c>
      <c r="B4" s="5" t="s">
        <v>37</v>
      </c>
      <c r="C4" s="19">
        <v>1</v>
      </c>
      <c r="D4" s="5" t="s">
        <v>55</v>
      </c>
      <c r="E4" s="5" t="s">
        <v>56</v>
      </c>
      <c r="F4" s="5">
        <v>232</v>
      </c>
      <c r="G4" s="32">
        <v>3</v>
      </c>
      <c r="H4" s="22" t="str">
        <f t="shared" si="0"/>
        <v>RS 232 3</v>
      </c>
      <c r="I4" s="165"/>
      <c r="J4" s="15"/>
      <c r="K4" s="15"/>
      <c r="L4" s="25"/>
      <c r="M4" s="14"/>
      <c r="N4" s="8"/>
      <c r="O4" s="8"/>
      <c r="P4" s="101" t="s">
        <v>230</v>
      </c>
      <c r="Q4" s="120" t="s">
        <v>227</v>
      </c>
      <c r="R4" s="103" t="s">
        <v>68</v>
      </c>
      <c r="S4" s="5"/>
      <c r="T4" s="9"/>
    </row>
    <row r="5" spans="1:20" s="144" customFormat="1">
      <c r="A5" s="143">
        <f t="shared" si="1"/>
        <v>4</v>
      </c>
      <c r="B5" s="90" t="s">
        <v>37</v>
      </c>
      <c r="C5" s="140">
        <v>1</v>
      </c>
      <c r="D5" s="150" t="s">
        <v>55</v>
      </c>
      <c r="E5" s="150" t="s">
        <v>56</v>
      </c>
      <c r="F5" s="150">
        <v>232</v>
      </c>
      <c r="G5" s="156">
        <v>4</v>
      </c>
      <c r="H5" s="148" t="str">
        <f t="shared" si="0"/>
        <v>RS 232 4</v>
      </c>
      <c r="I5" s="166"/>
      <c r="J5" s="122"/>
      <c r="K5" s="161"/>
      <c r="L5" s="122"/>
      <c r="M5" s="158"/>
      <c r="N5" s="157"/>
      <c r="O5" s="143"/>
      <c r="P5" s="150" t="s">
        <v>251</v>
      </c>
      <c r="Q5" s="90"/>
      <c r="R5" s="148"/>
      <c r="S5" s="90"/>
      <c r="T5" s="143"/>
    </row>
    <row r="6" spans="1:20">
      <c r="A6" s="5">
        <f t="shared" si="1"/>
        <v>5</v>
      </c>
      <c r="B6" s="5" t="s">
        <v>37</v>
      </c>
      <c r="C6" s="140">
        <v>1</v>
      </c>
      <c r="D6" s="5" t="s">
        <v>55</v>
      </c>
      <c r="E6" s="5" t="s">
        <v>56</v>
      </c>
      <c r="F6" s="5">
        <v>232</v>
      </c>
      <c r="G6" s="32">
        <v>5</v>
      </c>
      <c r="H6" s="22" t="str">
        <f t="shared" si="0"/>
        <v>RS 232 5</v>
      </c>
      <c r="I6" s="167"/>
      <c r="J6" s="122"/>
      <c r="K6" s="162"/>
      <c r="L6" s="163"/>
      <c r="M6" s="159"/>
      <c r="N6" s="8"/>
      <c r="O6" s="8"/>
      <c r="P6" s="101" t="s">
        <v>231</v>
      </c>
      <c r="Q6" s="9"/>
      <c r="R6" s="9"/>
      <c r="S6" s="5"/>
      <c r="T6" s="9"/>
    </row>
    <row r="7" spans="1:20" s="73" customFormat="1" ht="17.25" thickBot="1">
      <c r="A7" s="135">
        <f t="shared" si="1"/>
        <v>6</v>
      </c>
      <c r="B7" s="5" t="s">
        <v>37</v>
      </c>
      <c r="C7" s="141">
        <v>1</v>
      </c>
      <c r="D7" s="5" t="s">
        <v>55</v>
      </c>
      <c r="E7" s="5" t="s">
        <v>56</v>
      </c>
      <c r="F7" s="135">
        <v>232</v>
      </c>
      <c r="G7" s="136">
        <v>6</v>
      </c>
      <c r="H7" s="137" t="str">
        <f t="shared" si="0"/>
        <v>RS 232 6</v>
      </c>
      <c r="I7" s="168"/>
      <c r="J7" s="162"/>
      <c r="K7" s="162"/>
      <c r="L7" s="163"/>
      <c r="M7" s="159"/>
      <c r="N7" s="94"/>
      <c r="O7" s="94"/>
      <c r="P7" s="138" t="s">
        <v>232</v>
      </c>
      <c r="Q7" s="92"/>
      <c r="R7" s="92"/>
      <c r="S7" s="135"/>
      <c r="T7" s="92"/>
    </row>
    <row r="8" spans="1:20" s="145" customFormat="1" ht="17.25" thickTop="1">
      <c r="A8" s="152">
        <v>7</v>
      </c>
      <c r="B8" s="146" t="s">
        <v>37</v>
      </c>
      <c r="C8" s="141">
        <v>1</v>
      </c>
      <c r="D8" s="143" t="s">
        <v>55</v>
      </c>
      <c r="E8" s="90" t="s">
        <v>56</v>
      </c>
      <c r="F8" s="90">
        <v>485</v>
      </c>
      <c r="G8" s="151">
        <v>7</v>
      </c>
      <c r="H8" s="90" t="str">
        <f t="shared" si="0"/>
        <v>RS 485 7</v>
      </c>
      <c r="I8" s="165"/>
      <c r="J8" s="122"/>
      <c r="K8" s="164"/>
      <c r="L8" s="164"/>
      <c r="M8" s="160"/>
      <c r="N8" s="38"/>
      <c r="O8" s="90"/>
      <c r="P8" s="152" t="s">
        <v>249</v>
      </c>
      <c r="Q8" s="90"/>
      <c r="R8" s="90"/>
      <c r="S8" s="90"/>
      <c r="T8" s="152"/>
    </row>
    <row r="9" spans="1:20" s="145" customFormat="1" ht="17.25" thickBot="1">
      <c r="A9" s="147">
        <v>8</v>
      </c>
      <c r="B9" s="155" t="s">
        <v>37</v>
      </c>
      <c r="C9" s="142">
        <v>1</v>
      </c>
      <c r="D9" s="149" t="s">
        <v>55</v>
      </c>
      <c r="E9" s="155" t="s">
        <v>56</v>
      </c>
      <c r="F9" s="155">
        <v>485</v>
      </c>
      <c r="G9" s="169">
        <v>8</v>
      </c>
      <c r="H9" s="91" t="str">
        <f t="shared" si="0"/>
        <v>RS 485 8</v>
      </c>
      <c r="I9" s="171"/>
      <c r="J9" s="173"/>
      <c r="K9" s="174"/>
      <c r="L9" s="176"/>
      <c r="M9" s="177"/>
      <c r="N9" s="178"/>
      <c r="O9" s="153"/>
      <c r="P9" s="91" t="s">
        <v>250</v>
      </c>
      <c r="Q9" s="155"/>
      <c r="R9" s="91"/>
      <c r="S9" s="154"/>
      <c r="T9" s="143"/>
    </row>
    <row r="10" spans="1:20" ht="17.25" thickTop="1">
      <c r="A10" s="139">
        <f t="shared" si="1"/>
        <v>9</v>
      </c>
      <c r="B10" s="139" t="s">
        <v>29</v>
      </c>
      <c r="C10" s="58">
        <v>2</v>
      </c>
      <c r="D10" s="139" t="s">
        <v>81</v>
      </c>
      <c r="E10" s="139" t="s">
        <v>29</v>
      </c>
      <c r="F10" s="139" t="s">
        <v>6</v>
      </c>
      <c r="G10" s="59">
        <v>0</v>
      </c>
      <c r="H10" s="170" t="str">
        <f t="shared" si="0"/>
        <v>TC A 0</v>
      </c>
      <c r="I10" s="172"/>
      <c r="J10" s="139"/>
      <c r="K10" s="175"/>
      <c r="L10" s="175"/>
      <c r="M10" s="62"/>
      <c r="N10" s="63"/>
      <c r="O10" s="179"/>
      <c r="P10" s="179"/>
      <c r="Q10" s="65"/>
      <c r="R10" s="180"/>
      <c r="S10" s="139"/>
      <c r="T10" s="180"/>
    </row>
    <row r="11" spans="1:20">
      <c r="A11" s="5">
        <f t="shared" si="1"/>
        <v>10</v>
      </c>
      <c r="B11" s="5" t="s">
        <v>29</v>
      </c>
      <c r="C11" s="19">
        <v>2</v>
      </c>
      <c r="D11" s="5" t="s">
        <v>81</v>
      </c>
      <c r="E11" s="5" t="s">
        <v>29</v>
      </c>
      <c r="F11" s="5" t="s">
        <v>6</v>
      </c>
      <c r="G11" s="32">
        <v>1</v>
      </c>
      <c r="H11" s="22" t="str">
        <f t="shared" si="0"/>
        <v>TC A 1</v>
      </c>
      <c r="I11" s="6"/>
      <c r="J11" s="5"/>
      <c r="K11" s="34"/>
      <c r="L11" s="34"/>
      <c r="M11" s="7"/>
      <c r="N11" s="27"/>
      <c r="O11" s="8"/>
      <c r="P11" s="8"/>
      <c r="Q11" s="11"/>
      <c r="R11" s="9"/>
      <c r="S11" s="5"/>
      <c r="T11" s="9"/>
    </row>
    <row r="12" spans="1:20">
      <c r="A12" s="5">
        <f t="shared" si="1"/>
        <v>11</v>
      </c>
      <c r="B12" s="5" t="s">
        <v>29</v>
      </c>
      <c r="C12" s="19">
        <v>2</v>
      </c>
      <c r="D12" s="5" t="s">
        <v>81</v>
      </c>
      <c r="E12" s="5" t="s">
        <v>29</v>
      </c>
      <c r="F12" s="5" t="s">
        <v>6</v>
      </c>
      <c r="G12" s="32">
        <v>2</v>
      </c>
      <c r="H12" s="22" t="str">
        <f t="shared" si="0"/>
        <v>TC A 2</v>
      </c>
      <c r="I12" s="6"/>
      <c r="J12" s="5"/>
      <c r="K12" s="34"/>
      <c r="L12" s="34"/>
      <c r="M12" s="7"/>
      <c r="N12" s="27"/>
      <c r="O12" s="8"/>
      <c r="P12" s="8"/>
      <c r="Q12" s="11"/>
      <c r="R12" s="9"/>
      <c r="S12" s="5"/>
      <c r="T12" s="9"/>
    </row>
    <row r="13" spans="1:20">
      <c r="A13" s="5">
        <f t="shared" si="1"/>
        <v>12</v>
      </c>
      <c r="B13" s="5" t="s">
        <v>29</v>
      </c>
      <c r="C13" s="19">
        <v>2</v>
      </c>
      <c r="D13" s="5" t="s">
        <v>81</v>
      </c>
      <c r="E13" s="5" t="s">
        <v>29</v>
      </c>
      <c r="F13" s="5" t="s">
        <v>6</v>
      </c>
      <c r="G13" s="32">
        <v>3</v>
      </c>
      <c r="H13" s="22" t="str">
        <f t="shared" si="0"/>
        <v>TC A 3</v>
      </c>
      <c r="I13" s="6"/>
      <c r="J13" s="5"/>
      <c r="K13" s="34"/>
      <c r="L13" s="34"/>
      <c r="M13" s="7"/>
      <c r="N13" s="27"/>
      <c r="O13" s="8"/>
      <c r="P13" s="8"/>
      <c r="Q13" s="11"/>
      <c r="R13" s="9"/>
      <c r="S13" s="5"/>
      <c r="T13" s="9"/>
    </row>
    <row r="14" spans="1:20">
      <c r="A14" s="5">
        <f t="shared" si="1"/>
        <v>13</v>
      </c>
      <c r="B14" s="5" t="s">
        <v>29</v>
      </c>
      <c r="C14" s="19">
        <v>2</v>
      </c>
      <c r="D14" s="5" t="s">
        <v>81</v>
      </c>
      <c r="E14" s="5" t="s">
        <v>29</v>
      </c>
      <c r="F14" s="5" t="s">
        <v>6</v>
      </c>
      <c r="G14" s="32">
        <v>4</v>
      </c>
      <c r="H14" s="22" t="str">
        <f t="shared" si="0"/>
        <v>TC A 4</v>
      </c>
      <c r="I14" s="6"/>
      <c r="J14" s="5"/>
      <c r="K14" s="34"/>
      <c r="L14" s="34"/>
      <c r="M14" s="7"/>
      <c r="N14" s="27"/>
      <c r="O14" s="8"/>
      <c r="P14" s="8"/>
      <c r="Q14" s="11"/>
      <c r="R14" s="9"/>
      <c r="S14" s="5"/>
      <c r="T14" s="9"/>
    </row>
    <row r="15" spans="1:20">
      <c r="A15" s="5">
        <f t="shared" si="1"/>
        <v>14</v>
      </c>
      <c r="B15" s="5" t="s">
        <v>29</v>
      </c>
      <c r="C15" s="19">
        <v>2</v>
      </c>
      <c r="D15" s="5" t="s">
        <v>81</v>
      </c>
      <c r="E15" s="5" t="s">
        <v>29</v>
      </c>
      <c r="F15" s="5" t="s">
        <v>6</v>
      </c>
      <c r="G15" s="32">
        <v>5</v>
      </c>
      <c r="H15" s="22" t="str">
        <f t="shared" si="0"/>
        <v>TC A 5</v>
      </c>
      <c r="I15" s="6"/>
      <c r="J15" s="5"/>
      <c r="K15" s="34"/>
      <c r="L15" s="34"/>
      <c r="M15" s="7"/>
      <c r="N15" s="27"/>
      <c r="O15" s="8"/>
      <c r="P15" s="8"/>
      <c r="Q15" s="11"/>
      <c r="R15" s="9"/>
      <c r="S15" s="5"/>
      <c r="T15" s="9"/>
    </row>
    <row r="16" spans="1:20">
      <c r="A16" s="5">
        <f t="shared" si="1"/>
        <v>15</v>
      </c>
      <c r="B16" s="5" t="s">
        <v>29</v>
      </c>
      <c r="C16" s="19">
        <v>2</v>
      </c>
      <c r="D16" s="5" t="s">
        <v>81</v>
      </c>
      <c r="E16" s="5" t="s">
        <v>29</v>
      </c>
      <c r="F16" s="5" t="s">
        <v>6</v>
      </c>
      <c r="G16" s="32">
        <v>6</v>
      </c>
      <c r="H16" s="22" t="str">
        <f t="shared" si="0"/>
        <v>TC A 6</v>
      </c>
      <c r="I16" s="6"/>
      <c r="J16" s="5"/>
      <c r="K16" s="34"/>
      <c r="L16" s="34"/>
      <c r="M16" s="7"/>
      <c r="N16" s="27"/>
      <c r="O16" s="8"/>
      <c r="P16" s="8"/>
      <c r="Q16" s="11"/>
      <c r="R16" s="9"/>
      <c r="S16" s="5"/>
      <c r="T16" s="9"/>
    </row>
    <row r="17" spans="1:20">
      <c r="A17" s="5">
        <f t="shared" si="1"/>
        <v>16</v>
      </c>
      <c r="B17" s="5" t="s">
        <v>29</v>
      </c>
      <c r="C17" s="19">
        <v>2</v>
      </c>
      <c r="D17" s="5" t="s">
        <v>81</v>
      </c>
      <c r="E17" s="5" t="s">
        <v>29</v>
      </c>
      <c r="F17" s="5" t="s">
        <v>6</v>
      </c>
      <c r="G17" s="32">
        <v>7</v>
      </c>
      <c r="H17" s="22" t="str">
        <f t="shared" si="0"/>
        <v>TC A 7</v>
      </c>
      <c r="I17" s="6"/>
      <c r="J17" s="5"/>
      <c r="K17" s="34"/>
      <c r="L17" s="34"/>
      <c r="M17" s="7"/>
      <c r="N17" s="27"/>
      <c r="O17" s="8"/>
      <c r="P17" s="8"/>
      <c r="Q17" s="11"/>
      <c r="R17" s="9"/>
      <c r="S17" s="5"/>
      <c r="T17" s="9"/>
    </row>
    <row r="18" spans="1:20">
      <c r="A18" s="5">
        <f t="shared" si="1"/>
        <v>17</v>
      </c>
      <c r="B18" s="5" t="s">
        <v>29</v>
      </c>
      <c r="C18" s="19">
        <v>2</v>
      </c>
      <c r="D18" s="5" t="s">
        <v>81</v>
      </c>
      <c r="E18" s="5" t="s">
        <v>29</v>
      </c>
      <c r="F18" s="5" t="s">
        <v>6</v>
      </c>
      <c r="G18" s="32">
        <v>8</v>
      </c>
      <c r="H18" s="22" t="str">
        <f t="shared" si="0"/>
        <v>TC A 8</v>
      </c>
      <c r="I18" s="6"/>
      <c r="J18" s="5"/>
      <c r="K18" s="34"/>
      <c r="L18" s="34"/>
      <c r="M18" s="7"/>
      <c r="N18" s="27"/>
      <c r="O18" s="8"/>
      <c r="P18" s="8"/>
      <c r="Q18" s="11"/>
      <c r="R18" s="9"/>
      <c r="S18" s="5"/>
      <c r="T18" s="9"/>
    </row>
    <row r="19" spans="1:20">
      <c r="A19" s="5">
        <f t="shared" si="1"/>
        <v>18</v>
      </c>
      <c r="B19" s="5" t="s">
        <v>29</v>
      </c>
      <c r="C19" s="19">
        <v>2</v>
      </c>
      <c r="D19" s="5" t="s">
        <v>81</v>
      </c>
      <c r="E19" s="5" t="s">
        <v>29</v>
      </c>
      <c r="F19" s="5" t="s">
        <v>6</v>
      </c>
      <c r="G19" s="32">
        <v>9</v>
      </c>
      <c r="H19" s="22" t="str">
        <f t="shared" si="0"/>
        <v>TC A 9</v>
      </c>
      <c r="I19" s="6"/>
      <c r="J19" s="5"/>
      <c r="K19" s="34"/>
      <c r="L19" s="34"/>
      <c r="M19" s="7"/>
      <c r="N19" s="27"/>
      <c r="O19" s="8"/>
      <c r="P19" s="8"/>
      <c r="Q19" s="11"/>
      <c r="R19" s="9"/>
      <c r="S19" s="5"/>
      <c r="T19" s="9"/>
    </row>
    <row r="20" spans="1:20">
      <c r="A20" s="5">
        <f t="shared" si="1"/>
        <v>19</v>
      </c>
      <c r="B20" s="5" t="s">
        <v>29</v>
      </c>
      <c r="C20" s="19">
        <v>2</v>
      </c>
      <c r="D20" s="5" t="s">
        <v>8</v>
      </c>
      <c r="E20" s="5" t="s">
        <v>29</v>
      </c>
      <c r="F20" s="5" t="s">
        <v>6</v>
      </c>
      <c r="G20" s="32">
        <v>10</v>
      </c>
      <c r="H20" s="22" t="str">
        <f t="shared" si="0"/>
        <v>TC A 10</v>
      </c>
      <c r="I20" s="6"/>
      <c r="J20" s="5"/>
      <c r="K20" s="34"/>
      <c r="L20" s="34"/>
      <c r="M20" s="7"/>
      <c r="N20" s="27"/>
      <c r="O20" s="8"/>
      <c r="P20" s="8"/>
      <c r="Q20" s="11"/>
      <c r="R20" s="9"/>
      <c r="S20" s="5"/>
      <c r="T20" s="9"/>
    </row>
    <row r="21" spans="1:20">
      <c r="A21" s="5">
        <f t="shared" si="1"/>
        <v>20</v>
      </c>
      <c r="B21" s="5" t="s">
        <v>29</v>
      </c>
      <c r="C21" s="19">
        <v>2</v>
      </c>
      <c r="D21" s="5" t="s">
        <v>8</v>
      </c>
      <c r="E21" s="5" t="s">
        <v>29</v>
      </c>
      <c r="F21" s="5" t="s">
        <v>6</v>
      </c>
      <c r="G21" s="32">
        <v>11</v>
      </c>
      <c r="H21" s="22" t="str">
        <f t="shared" si="0"/>
        <v>TC A 11</v>
      </c>
      <c r="I21" s="6"/>
      <c r="J21" s="5"/>
      <c r="K21" s="34"/>
      <c r="L21" s="34"/>
      <c r="M21" s="7"/>
      <c r="N21" s="38"/>
      <c r="O21" s="8"/>
      <c r="P21" s="8"/>
      <c r="Q21" s="11"/>
      <c r="R21" s="9"/>
      <c r="S21" s="5"/>
      <c r="T21" s="9"/>
    </row>
    <row r="22" spans="1:20">
      <c r="A22" s="5">
        <f t="shared" si="1"/>
        <v>21</v>
      </c>
      <c r="B22" s="5" t="s">
        <v>29</v>
      </c>
      <c r="C22" s="19">
        <v>2</v>
      </c>
      <c r="D22" s="5" t="s">
        <v>8</v>
      </c>
      <c r="E22" s="5" t="s">
        <v>29</v>
      </c>
      <c r="F22" s="5" t="s">
        <v>6</v>
      </c>
      <c r="G22" s="32">
        <v>12</v>
      </c>
      <c r="H22" s="22" t="str">
        <f t="shared" si="0"/>
        <v>TC A 12</v>
      </c>
      <c r="I22" s="6"/>
      <c r="J22" s="5"/>
      <c r="K22" s="34"/>
      <c r="L22" s="34"/>
      <c r="M22" s="7"/>
      <c r="N22" s="38"/>
      <c r="O22" s="8"/>
      <c r="P22" s="8"/>
      <c r="Q22" s="11"/>
      <c r="R22" s="9"/>
      <c r="S22" s="5"/>
      <c r="T22" s="9"/>
    </row>
    <row r="23" spans="1:20">
      <c r="A23" s="5">
        <f t="shared" si="1"/>
        <v>22</v>
      </c>
      <c r="B23" s="5" t="s">
        <v>29</v>
      </c>
      <c r="C23" s="19">
        <v>2</v>
      </c>
      <c r="D23" s="5" t="s">
        <v>8</v>
      </c>
      <c r="E23" s="5" t="s">
        <v>29</v>
      </c>
      <c r="F23" s="5" t="s">
        <v>6</v>
      </c>
      <c r="G23" s="32">
        <v>13</v>
      </c>
      <c r="H23" s="22" t="str">
        <f t="shared" si="0"/>
        <v>TC A 13</v>
      </c>
      <c r="I23" s="6"/>
      <c r="J23" s="5"/>
      <c r="K23" s="34"/>
      <c r="L23" s="34"/>
      <c r="M23" s="7"/>
      <c r="N23" s="38"/>
      <c r="O23" s="8"/>
      <c r="P23" s="8"/>
      <c r="Q23" s="11"/>
      <c r="R23" s="9"/>
      <c r="S23" s="5"/>
      <c r="T23" s="9"/>
    </row>
    <row r="24" spans="1:20">
      <c r="A24" s="5">
        <f t="shared" si="1"/>
        <v>23</v>
      </c>
      <c r="B24" s="5" t="s">
        <v>29</v>
      </c>
      <c r="C24" s="19">
        <v>2</v>
      </c>
      <c r="D24" s="5" t="s">
        <v>8</v>
      </c>
      <c r="E24" s="5" t="s">
        <v>29</v>
      </c>
      <c r="F24" s="5" t="s">
        <v>6</v>
      </c>
      <c r="G24" s="32">
        <v>14</v>
      </c>
      <c r="H24" s="22" t="str">
        <f t="shared" si="0"/>
        <v>TC A 14</v>
      </c>
      <c r="I24" s="6"/>
      <c r="J24" s="5"/>
      <c r="K24" s="34"/>
      <c r="L24" s="34"/>
      <c r="M24" s="7"/>
      <c r="N24" s="38"/>
      <c r="O24" s="8"/>
      <c r="P24" s="8"/>
      <c r="Q24" s="11"/>
      <c r="R24" s="9"/>
      <c r="S24" s="5"/>
      <c r="T24" s="9"/>
    </row>
    <row r="25" spans="1:20">
      <c r="A25" s="5">
        <f t="shared" si="1"/>
        <v>24</v>
      </c>
      <c r="B25" s="5" t="s">
        <v>29</v>
      </c>
      <c r="C25" s="19">
        <v>2</v>
      </c>
      <c r="D25" s="5" t="s">
        <v>8</v>
      </c>
      <c r="E25" s="5" t="s">
        <v>29</v>
      </c>
      <c r="F25" s="5" t="s">
        <v>6</v>
      </c>
      <c r="G25" s="32">
        <v>15</v>
      </c>
      <c r="H25" s="22" t="str">
        <f t="shared" si="0"/>
        <v>TC A 15</v>
      </c>
      <c r="I25" s="6"/>
      <c r="J25" s="5"/>
      <c r="K25" s="34"/>
      <c r="L25" s="34"/>
      <c r="M25" s="7"/>
      <c r="N25" s="38"/>
      <c r="O25" s="8"/>
      <c r="P25" s="8"/>
      <c r="Q25" s="11"/>
      <c r="R25" s="9"/>
      <c r="S25" s="5"/>
      <c r="T25" s="9"/>
    </row>
    <row r="26" spans="1:20">
      <c r="A26" s="5">
        <f t="shared" si="1"/>
        <v>25</v>
      </c>
      <c r="B26" s="5" t="s">
        <v>29</v>
      </c>
      <c r="C26" s="19">
        <v>2</v>
      </c>
      <c r="D26" s="5" t="s">
        <v>8</v>
      </c>
      <c r="E26" s="5" t="s">
        <v>29</v>
      </c>
      <c r="F26" s="5" t="s">
        <v>6</v>
      </c>
      <c r="G26" s="32">
        <v>16</v>
      </c>
      <c r="H26" s="22" t="str">
        <f t="shared" si="0"/>
        <v>TC A 16</v>
      </c>
      <c r="I26" s="6"/>
      <c r="J26" s="5"/>
      <c r="K26" s="34"/>
      <c r="L26" s="34"/>
      <c r="M26" s="7"/>
      <c r="N26" s="38"/>
      <c r="O26" s="8"/>
      <c r="P26" s="8"/>
      <c r="Q26" s="11"/>
      <c r="R26" s="9"/>
      <c r="S26" s="5"/>
      <c r="T26" s="9"/>
    </row>
    <row r="27" spans="1:20">
      <c r="A27" s="5">
        <f t="shared" si="1"/>
        <v>26</v>
      </c>
      <c r="B27" s="5" t="s">
        <v>29</v>
      </c>
      <c r="C27" s="19">
        <v>2</v>
      </c>
      <c r="D27" s="5" t="s">
        <v>8</v>
      </c>
      <c r="E27" s="5" t="s">
        <v>29</v>
      </c>
      <c r="F27" s="5" t="s">
        <v>6</v>
      </c>
      <c r="G27" s="32">
        <v>17</v>
      </c>
      <c r="H27" s="22" t="str">
        <f t="shared" si="0"/>
        <v>TC A 17</v>
      </c>
      <c r="I27" s="6"/>
      <c r="J27" s="5"/>
      <c r="K27" s="34"/>
      <c r="L27" s="34"/>
      <c r="M27" s="7"/>
      <c r="N27" s="27"/>
      <c r="O27" s="8"/>
      <c r="P27" s="8"/>
      <c r="Q27" s="11"/>
      <c r="R27" s="9"/>
      <c r="S27" s="5"/>
      <c r="T27" s="9"/>
    </row>
    <row r="28" spans="1:20">
      <c r="A28" s="5">
        <f t="shared" si="1"/>
        <v>27</v>
      </c>
      <c r="B28" s="5" t="s">
        <v>29</v>
      </c>
      <c r="C28" s="19">
        <v>2</v>
      </c>
      <c r="D28" s="5" t="s">
        <v>8</v>
      </c>
      <c r="E28" s="5" t="s">
        <v>29</v>
      </c>
      <c r="F28" s="5" t="s">
        <v>6</v>
      </c>
      <c r="G28" s="32">
        <v>18</v>
      </c>
      <c r="H28" s="22" t="str">
        <f t="shared" si="0"/>
        <v>TC A 18</v>
      </c>
      <c r="I28" s="6"/>
      <c r="J28" s="5"/>
      <c r="K28" s="34"/>
      <c r="L28" s="34"/>
      <c r="M28" s="7"/>
      <c r="N28" s="27"/>
      <c r="O28" s="8"/>
      <c r="P28" s="8"/>
      <c r="Q28" s="11"/>
      <c r="R28" s="9"/>
      <c r="S28" s="5"/>
      <c r="T28" s="9"/>
    </row>
    <row r="29" spans="1:20">
      <c r="A29" s="5">
        <f t="shared" si="1"/>
        <v>28</v>
      </c>
      <c r="B29" s="5" t="s">
        <v>29</v>
      </c>
      <c r="C29" s="19">
        <v>2</v>
      </c>
      <c r="D29" s="5" t="s">
        <v>8</v>
      </c>
      <c r="E29" s="5" t="s">
        <v>29</v>
      </c>
      <c r="F29" s="5" t="s">
        <v>6</v>
      </c>
      <c r="G29" s="32">
        <v>19</v>
      </c>
      <c r="H29" s="22" t="str">
        <f t="shared" si="0"/>
        <v>TC A 19</v>
      </c>
      <c r="I29" s="6"/>
      <c r="J29" s="5"/>
      <c r="K29" s="5"/>
      <c r="L29" s="34"/>
      <c r="M29" s="7"/>
      <c r="N29" s="56"/>
      <c r="O29" s="8"/>
      <c r="P29" s="8"/>
      <c r="Q29" s="9"/>
      <c r="R29" s="9"/>
      <c r="S29" s="5"/>
      <c r="T29" s="9"/>
    </row>
    <row r="30" spans="1:20">
      <c r="A30" s="5">
        <f t="shared" si="1"/>
        <v>29</v>
      </c>
      <c r="B30" s="5" t="s">
        <v>29</v>
      </c>
      <c r="C30" s="19">
        <v>2</v>
      </c>
      <c r="D30" s="5" t="s">
        <v>81</v>
      </c>
      <c r="E30" s="5" t="s">
        <v>29</v>
      </c>
      <c r="F30" s="5" t="s">
        <v>168</v>
      </c>
      <c r="G30" s="32">
        <v>0</v>
      </c>
      <c r="H30" s="22" t="str">
        <f t="shared" si="0"/>
        <v>TC B 0</v>
      </c>
      <c r="I30" s="6"/>
      <c r="J30" s="5"/>
      <c r="K30" s="34"/>
      <c r="L30" s="34"/>
      <c r="M30" s="7"/>
      <c r="N30" s="38"/>
      <c r="O30" s="8"/>
      <c r="P30" s="8"/>
      <c r="Q30" s="11"/>
      <c r="R30" s="9"/>
      <c r="S30" s="5"/>
      <c r="T30" s="9"/>
    </row>
    <row r="31" spans="1:20">
      <c r="A31" s="5">
        <f t="shared" si="1"/>
        <v>30</v>
      </c>
      <c r="B31" s="5" t="s">
        <v>29</v>
      </c>
      <c r="C31" s="19">
        <v>2</v>
      </c>
      <c r="D31" s="5" t="s">
        <v>81</v>
      </c>
      <c r="E31" s="5" t="s">
        <v>29</v>
      </c>
      <c r="F31" s="5" t="s">
        <v>168</v>
      </c>
      <c r="G31" s="32">
        <v>1</v>
      </c>
      <c r="H31" s="22" t="str">
        <f t="shared" si="0"/>
        <v>TC B 1</v>
      </c>
      <c r="I31" s="6"/>
      <c r="J31" s="5"/>
      <c r="K31" s="34"/>
      <c r="L31" s="34"/>
      <c r="M31" s="7"/>
      <c r="N31" s="38"/>
      <c r="O31" s="8"/>
      <c r="P31" s="8"/>
      <c r="Q31" s="11"/>
      <c r="R31" s="9"/>
      <c r="S31" s="5"/>
      <c r="T31" s="9"/>
    </row>
    <row r="32" spans="1:20">
      <c r="A32" s="5">
        <f t="shared" si="1"/>
        <v>31</v>
      </c>
      <c r="B32" s="5" t="s">
        <v>29</v>
      </c>
      <c r="C32" s="19">
        <v>2</v>
      </c>
      <c r="D32" s="5" t="s">
        <v>81</v>
      </c>
      <c r="E32" s="5" t="s">
        <v>29</v>
      </c>
      <c r="F32" s="5" t="s">
        <v>168</v>
      </c>
      <c r="G32" s="32">
        <v>2</v>
      </c>
      <c r="H32" s="22" t="str">
        <f t="shared" si="0"/>
        <v>TC B 2</v>
      </c>
      <c r="I32" s="6"/>
      <c r="J32" s="5"/>
      <c r="K32" s="34"/>
      <c r="L32" s="34"/>
      <c r="M32" s="7"/>
      <c r="N32" s="38"/>
      <c r="O32" s="8"/>
      <c r="P32" s="8"/>
      <c r="Q32" s="11"/>
      <c r="R32" s="9"/>
      <c r="S32" s="5"/>
      <c r="T32" s="9"/>
    </row>
    <row r="33" spans="1:20">
      <c r="A33" s="5">
        <f t="shared" si="1"/>
        <v>32</v>
      </c>
      <c r="B33" s="5" t="s">
        <v>29</v>
      </c>
      <c r="C33" s="19">
        <v>2</v>
      </c>
      <c r="D33" s="5" t="s">
        <v>81</v>
      </c>
      <c r="E33" s="5" t="s">
        <v>29</v>
      </c>
      <c r="F33" s="5" t="s">
        <v>168</v>
      </c>
      <c r="G33" s="32">
        <v>3</v>
      </c>
      <c r="H33" s="22" t="str">
        <f t="shared" si="0"/>
        <v>TC B 3</v>
      </c>
      <c r="I33" s="6"/>
      <c r="J33" s="5"/>
      <c r="K33" s="34"/>
      <c r="L33" s="34"/>
      <c r="M33" s="7"/>
      <c r="N33" s="38"/>
      <c r="O33" s="8"/>
      <c r="P33" s="8"/>
      <c r="Q33" s="11"/>
      <c r="R33" s="9"/>
      <c r="S33" s="5"/>
      <c r="T33" s="9"/>
    </row>
    <row r="34" spans="1:20">
      <c r="A34" s="5">
        <f t="shared" si="1"/>
        <v>33</v>
      </c>
      <c r="B34" s="5" t="s">
        <v>29</v>
      </c>
      <c r="C34" s="19">
        <v>2</v>
      </c>
      <c r="D34" s="5" t="s">
        <v>81</v>
      </c>
      <c r="E34" s="5" t="s">
        <v>29</v>
      </c>
      <c r="F34" s="5" t="s">
        <v>168</v>
      </c>
      <c r="G34" s="32">
        <v>4</v>
      </c>
      <c r="H34" s="22" t="str">
        <f t="shared" si="0"/>
        <v>TC B 4</v>
      </c>
      <c r="I34" s="6"/>
      <c r="J34" s="5"/>
      <c r="K34" s="34"/>
      <c r="L34" s="34"/>
      <c r="M34" s="7"/>
      <c r="N34" s="38"/>
      <c r="O34" s="8"/>
      <c r="P34" s="8"/>
      <c r="Q34" s="11"/>
      <c r="R34" s="9"/>
      <c r="S34" s="5"/>
      <c r="T34" s="9"/>
    </row>
    <row r="35" spans="1:20">
      <c r="A35" s="5">
        <f t="shared" si="1"/>
        <v>34</v>
      </c>
      <c r="B35" s="5" t="s">
        <v>29</v>
      </c>
      <c r="C35" s="19">
        <v>2</v>
      </c>
      <c r="D35" s="5" t="s">
        <v>81</v>
      </c>
      <c r="E35" s="5" t="s">
        <v>29</v>
      </c>
      <c r="F35" s="5" t="s">
        <v>168</v>
      </c>
      <c r="G35" s="32">
        <v>5</v>
      </c>
      <c r="H35" s="22" t="str">
        <f t="shared" si="0"/>
        <v>TC B 5</v>
      </c>
      <c r="I35" s="6"/>
      <c r="J35" s="5"/>
      <c r="K35" s="34"/>
      <c r="L35" s="34"/>
      <c r="M35" s="7"/>
      <c r="N35" s="27"/>
      <c r="O35" s="8"/>
      <c r="P35" s="8"/>
      <c r="Q35" s="11"/>
      <c r="R35" s="9"/>
      <c r="S35" s="5"/>
      <c r="T35" s="9"/>
    </row>
    <row r="36" spans="1:20">
      <c r="A36" s="5">
        <f t="shared" si="1"/>
        <v>35</v>
      </c>
      <c r="B36" s="5" t="s">
        <v>29</v>
      </c>
      <c r="C36" s="19">
        <v>2</v>
      </c>
      <c r="D36" s="5" t="s">
        <v>81</v>
      </c>
      <c r="E36" s="5" t="s">
        <v>29</v>
      </c>
      <c r="F36" s="5" t="s">
        <v>168</v>
      </c>
      <c r="G36" s="32">
        <v>6</v>
      </c>
      <c r="H36" s="22" t="str">
        <f t="shared" si="0"/>
        <v>TC B 6</v>
      </c>
      <c r="I36" s="6"/>
      <c r="J36" s="5"/>
      <c r="K36" s="34"/>
      <c r="L36" s="34"/>
      <c r="M36" s="7"/>
      <c r="N36" s="27"/>
      <c r="O36" s="8"/>
      <c r="P36" s="8"/>
      <c r="Q36" s="11"/>
      <c r="R36" s="9"/>
      <c r="S36" s="5"/>
      <c r="T36" s="9"/>
    </row>
    <row r="37" spans="1:20">
      <c r="A37" s="5">
        <f t="shared" si="1"/>
        <v>36</v>
      </c>
      <c r="B37" s="5" t="s">
        <v>29</v>
      </c>
      <c r="C37" s="19">
        <v>2</v>
      </c>
      <c r="D37" s="5" t="s">
        <v>81</v>
      </c>
      <c r="E37" s="5" t="s">
        <v>29</v>
      </c>
      <c r="F37" s="5" t="s">
        <v>168</v>
      </c>
      <c r="G37" s="32">
        <v>7</v>
      </c>
      <c r="H37" s="22" t="str">
        <f t="shared" si="0"/>
        <v>TC B 7</v>
      </c>
      <c r="I37" s="6"/>
      <c r="J37" s="5"/>
      <c r="K37" s="5"/>
      <c r="L37" s="34"/>
      <c r="M37" s="7"/>
      <c r="N37" s="56"/>
      <c r="O37" s="8"/>
      <c r="P37" s="8"/>
      <c r="Q37" s="11"/>
      <c r="R37" s="9"/>
      <c r="S37" s="5"/>
      <c r="T37" s="9"/>
    </row>
    <row r="38" spans="1:20">
      <c r="A38" s="5">
        <f t="shared" si="1"/>
        <v>37</v>
      </c>
      <c r="B38" s="5" t="s">
        <v>29</v>
      </c>
      <c r="C38" s="19">
        <v>2</v>
      </c>
      <c r="D38" s="5" t="s">
        <v>81</v>
      </c>
      <c r="E38" s="5" t="s">
        <v>29</v>
      </c>
      <c r="F38" s="5" t="s">
        <v>168</v>
      </c>
      <c r="G38" s="32">
        <v>8</v>
      </c>
      <c r="H38" s="22" t="str">
        <f t="shared" si="0"/>
        <v>TC B 8</v>
      </c>
      <c r="I38" s="6"/>
      <c r="J38" s="5"/>
      <c r="K38" s="34"/>
      <c r="L38" s="34"/>
      <c r="M38" s="7"/>
      <c r="N38" s="27"/>
      <c r="O38" s="8"/>
      <c r="P38" s="8"/>
      <c r="Q38" s="11"/>
      <c r="R38" s="9"/>
      <c r="S38" s="5"/>
      <c r="T38" s="9"/>
    </row>
    <row r="39" spans="1:20">
      <c r="A39" s="5">
        <f t="shared" si="1"/>
        <v>38</v>
      </c>
      <c r="B39" s="5" t="s">
        <v>29</v>
      </c>
      <c r="C39" s="19">
        <v>2</v>
      </c>
      <c r="D39" s="5" t="s">
        <v>81</v>
      </c>
      <c r="E39" s="5" t="s">
        <v>29</v>
      </c>
      <c r="F39" s="5" t="s">
        <v>168</v>
      </c>
      <c r="G39" s="32">
        <v>9</v>
      </c>
      <c r="H39" s="22" t="str">
        <f t="shared" si="0"/>
        <v>TC B 9</v>
      </c>
      <c r="I39" s="6"/>
      <c r="J39" s="5"/>
      <c r="K39" s="34"/>
      <c r="L39" s="34"/>
      <c r="M39" s="7"/>
      <c r="N39" s="27"/>
      <c r="O39" s="8"/>
      <c r="P39" s="8"/>
      <c r="Q39" s="11"/>
      <c r="R39" s="9"/>
      <c r="S39" s="5"/>
      <c r="T39" s="9"/>
    </row>
    <row r="40" spans="1:20">
      <c r="A40" s="5">
        <f t="shared" si="1"/>
        <v>39</v>
      </c>
      <c r="B40" s="5" t="s">
        <v>29</v>
      </c>
      <c r="C40" s="19">
        <v>2</v>
      </c>
      <c r="D40" s="5" t="s">
        <v>8</v>
      </c>
      <c r="E40" s="5" t="s">
        <v>29</v>
      </c>
      <c r="F40" s="5" t="s">
        <v>168</v>
      </c>
      <c r="G40" s="32">
        <v>10</v>
      </c>
      <c r="H40" s="22" t="str">
        <f t="shared" si="0"/>
        <v>TC B 10</v>
      </c>
      <c r="I40" s="6"/>
      <c r="J40" s="5"/>
      <c r="K40" s="34"/>
      <c r="L40" s="34"/>
      <c r="M40" s="7"/>
      <c r="N40" s="27"/>
      <c r="O40" s="8"/>
      <c r="P40" s="8"/>
      <c r="Q40" s="11"/>
      <c r="R40" s="9"/>
      <c r="S40" s="5"/>
      <c r="T40" s="9"/>
    </row>
    <row r="41" spans="1:20">
      <c r="A41" s="5">
        <f t="shared" si="1"/>
        <v>40</v>
      </c>
      <c r="B41" s="5" t="s">
        <v>29</v>
      </c>
      <c r="C41" s="19">
        <v>2</v>
      </c>
      <c r="D41" s="5" t="s">
        <v>8</v>
      </c>
      <c r="E41" s="5" t="s">
        <v>29</v>
      </c>
      <c r="F41" s="5" t="s">
        <v>168</v>
      </c>
      <c r="G41" s="32">
        <v>11</v>
      </c>
      <c r="H41" s="22" t="str">
        <f t="shared" si="0"/>
        <v>TC B 11</v>
      </c>
      <c r="I41" s="6"/>
      <c r="J41" s="5"/>
      <c r="K41" s="34"/>
      <c r="L41" s="34"/>
      <c r="M41" s="7"/>
      <c r="N41" s="27"/>
      <c r="O41" s="8"/>
      <c r="P41" s="8"/>
      <c r="Q41" s="11"/>
      <c r="R41" s="9"/>
      <c r="S41" s="5"/>
      <c r="T41" s="9"/>
    </row>
    <row r="42" spans="1:20">
      <c r="A42" s="5">
        <f t="shared" si="1"/>
        <v>41</v>
      </c>
      <c r="B42" s="5" t="s">
        <v>29</v>
      </c>
      <c r="C42" s="19">
        <v>2</v>
      </c>
      <c r="D42" s="5" t="s">
        <v>8</v>
      </c>
      <c r="E42" s="5" t="s">
        <v>29</v>
      </c>
      <c r="F42" s="5" t="s">
        <v>168</v>
      </c>
      <c r="G42" s="32">
        <v>12</v>
      </c>
      <c r="H42" s="22" t="str">
        <f t="shared" si="0"/>
        <v>TC B 12</v>
      </c>
      <c r="I42" s="6"/>
      <c r="J42" s="5"/>
      <c r="K42" s="34"/>
      <c r="L42" s="34"/>
      <c r="M42" s="7"/>
      <c r="N42" s="27"/>
      <c r="O42" s="8"/>
      <c r="P42" s="8"/>
      <c r="Q42" s="11"/>
      <c r="R42" s="9"/>
      <c r="S42" s="5"/>
      <c r="T42" s="9"/>
    </row>
    <row r="43" spans="1:20">
      <c r="A43" s="5">
        <f t="shared" si="1"/>
        <v>42</v>
      </c>
      <c r="B43" s="5" t="s">
        <v>29</v>
      </c>
      <c r="C43" s="19">
        <v>2</v>
      </c>
      <c r="D43" s="5" t="s">
        <v>8</v>
      </c>
      <c r="E43" s="5" t="s">
        <v>29</v>
      </c>
      <c r="F43" s="5" t="s">
        <v>168</v>
      </c>
      <c r="G43" s="32">
        <v>13</v>
      </c>
      <c r="H43" s="22" t="str">
        <f t="shared" si="0"/>
        <v>TC B 13</v>
      </c>
      <c r="I43" s="6"/>
      <c r="J43" s="5"/>
      <c r="K43" s="34"/>
      <c r="L43" s="34"/>
      <c r="M43" s="7"/>
      <c r="N43" s="27"/>
      <c r="O43" s="8"/>
      <c r="P43" s="8"/>
      <c r="Q43" s="11"/>
      <c r="R43" s="9"/>
      <c r="S43" s="5"/>
      <c r="T43" s="9"/>
    </row>
    <row r="44" spans="1:20">
      <c r="A44" s="5">
        <f t="shared" si="1"/>
        <v>43</v>
      </c>
      <c r="B44" s="5" t="s">
        <v>29</v>
      </c>
      <c r="C44" s="19">
        <v>2</v>
      </c>
      <c r="D44" s="5" t="s">
        <v>8</v>
      </c>
      <c r="E44" s="5" t="s">
        <v>29</v>
      </c>
      <c r="F44" s="5" t="s">
        <v>168</v>
      </c>
      <c r="G44" s="32">
        <v>14</v>
      </c>
      <c r="H44" s="22" t="str">
        <f t="shared" si="0"/>
        <v>TC B 14</v>
      </c>
      <c r="I44" s="6"/>
      <c r="J44" s="5"/>
      <c r="K44" s="34"/>
      <c r="L44" s="34"/>
      <c r="M44" s="7"/>
      <c r="N44" s="27"/>
      <c r="O44" s="8"/>
      <c r="P44" s="8"/>
      <c r="Q44" s="11"/>
      <c r="R44" s="9"/>
      <c r="S44" s="5"/>
      <c r="T44" s="9"/>
    </row>
    <row r="45" spans="1:20">
      <c r="A45" s="5">
        <f t="shared" si="1"/>
        <v>44</v>
      </c>
      <c r="B45" s="5" t="s">
        <v>29</v>
      </c>
      <c r="C45" s="19">
        <v>2</v>
      </c>
      <c r="D45" s="5" t="s">
        <v>8</v>
      </c>
      <c r="E45" s="5" t="s">
        <v>29</v>
      </c>
      <c r="F45" s="5" t="s">
        <v>168</v>
      </c>
      <c r="G45" s="32">
        <v>15</v>
      </c>
      <c r="H45" s="22" t="str">
        <f t="shared" si="0"/>
        <v>TC B 15</v>
      </c>
      <c r="I45" s="6"/>
      <c r="J45" s="5"/>
      <c r="K45" s="34"/>
      <c r="L45" s="34"/>
      <c r="M45" s="7"/>
      <c r="N45" s="27"/>
      <c r="O45" s="8"/>
      <c r="P45" s="8"/>
      <c r="Q45" s="11"/>
      <c r="R45" s="9"/>
      <c r="S45" s="5"/>
      <c r="T45" s="9"/>
    </row>
    <row r="46" spans="1:20">
      <c r="A46" s="5">
        <f t="shared" si="1"/>
        <v>45</v>
      </c>
      <c r="B46" s="5" t="s">
        <v>29</v>
      </c>
      <c r="C46" s="19">
        <v>2</v>
      </c>
      <c r="D46" s="5" t="s">
        <v>8</v>
      </c>
      <c r="E46" s="5" t="s">
        <v>29</v>
      </c>
      <c r="F46" s="5" t="s">
        <v>168</v>
      </c>
      <c r="G46" s="32">
        <v>16</v>
      </c>
      <c r="H46" s="22" t="str">
        <f t="shared" si="0"/>
        <v>TC B 16</v>
      </c>
      <c r="I46" s="6"/>
      <c r="J46" s="5"/>
      <c r="K46" s="34"/>
      <c r="L46" s="34"/>
      <c r="M46" s="7"/>
      <c r="N46" s="27"/>
      <c r="O46" s="8"/>
      <c r="P46" s="8"/>
      <c r="Q46" s="11"/>
      <c r="R46" s="9"/>
      <c r="S46" s="5"/>
      <c r="T46" s="9"/>
    </row>
    <row r="47" spans="1:20">
      <c r="A47" s="5">
        <f t="shared" si="1"/>
        <v>46</v>
      </c>
      <c r="B47" s="5" t="s">
        <v>29</v>
      </c>
      <c r="C47" s="19">
        <v>2</v>
      </c>
      <c r="D47" s="5" t="s">
        <v>8</v>
      </c>
      <c r="E47" s="5" t="s">
        <v>29</v>
      </c>
      <c r="F47" s="5" t="s">
        <v>168</v>
      </c>
      <c r="G47" s="32">
        <v>17</v>
      </c>
      <c r="H47" s="22" t="str">
        <f t="shared" si="0"/>
        <v>TC B 17</v>
      </c>
      <c r="I47" s="6"/>
      <c r="J47" s="5"/>
      <c r="K47" s="34"/>
      <c r="L47" s="34"/>
      <c r="M47" s="7"/>
      <c r="N47" s="27"/>
      <c r="O47" s="8"/>
      <c r="P47" s="8"/>
      <c r="Q47" s="11"/>
      <c r="R47" s="9"/>
      <c r="S47" s="5"/>
      <c r="T47" s="9"/>
    </row>
    <row r="48" spans="1:20">
      <c r="A48" s="5">
        <f t="shared" si="1"/>
        <v>47</v>
      </c>
      <c r="B48" s="5" t="s">
        <v>29</v>
      </c>
      <c r="C48" s="19">
        <v>2</v>
      </c>
      <c r="D48" s="5" t="s">
        <v>8</v>
      </c>
      <c r="E48" s="5" t="s">
        <v>29</v>
      </c>
      <c r="F48" s="5" t="s">
        <v>168</v>
      </c>
      <c r="G48" s="32">
        <v>18</v>
      </c>
      <c r="H48" s="22" t="str">
        <f t="shared" si="0"/>
        <v>TC B 18</v>
      </c>
      <c r="I48" s="6"/>
      <c r="J48" s="5"/>
      <c r="K48" s="34"/>
      <c r="L48" s="34"/>
      <c r="M48" s="7"/>
      <c r="N48" s="27"/>
      <c r="O48" s="8"/>
      <c r="P48" s="8"/>
      <c r="Q48" s="11"/>
      <c r="R48" s="9"/>
      <c r="S48" s="5"/>
      <c r="T48" s="9"/>
    </row>
    <row r="49" spans="1:20" s="73" customFormat="1" ht="17.25" thickBot="1">
      <c r="A49" s="67">
        <f t="shared" si="1"/>
        <v>48</v>
      </c>
      <c r="B49" s="67" t="s">
        <v>29</v>
      </c>
      <c r="C49" s="68">
        <v>2</v>
      </c>
      <c r="D49" s="67" t="s">
        <v>8</v>
      </c>
      <c r="E49" s="67" t="s">
        <v>29</v>
      </c>
      <c r="F49" s="67" t="s">
        <v>168</v>
      </c>
      <c r="G49" s="69">
        <v>19</v>
      </c>
      <c r="H49" s="70" t="str">
        <f t="shared" si="0"/>
        <v>TC B 19</v>
      </c>
      <c r="I49" s="186"/>
      <c r="J49" s="67"/>
      <c r="K49" s="76"/>
      <c r="L49" s="76"/>
      <c r="M49" s="77"/>
      <c r="N49" s="78"/>
      <c r="O49" s="71"/>
      <c r="P49" s="71"/>
      <c r="Q49" s="72"/>
      <c r="R49" s="72"/>
      <c r="S49" s="67"/>
      <c r="T49" s="72"/>
    </row>
    <row r="50" spans="1:20" s="143" customFormat="1" ht="17.25" thickTop="1">
      <c r="A50" s="185">
        <f t="shared" si="1"/>
        <v>49</v>
      </c>
      <c r="B50" s="187" t="s">
        <v>34</v>
      </c>
      <c r="C50" s="203" t="s">
        <v>261</v>
      </c>
      <c r="D50" s="185" t="s">
        <v>82</v>
      </c>
      <c r="E50" s="185" t="s">
        <v>34</v>
      </c>
      <c r="F50" s="185" t="s">
        <v>6</v>
      </c>
      <c r="G50" s="188">
        <v>0</v>
      </c>
      <c r="H50" s="189" t="str">
        <f t="shared" si="0"/>
        <v>AI A 0</v>
      </c>
      <c r="I50" s="201"/>
      <c r="J50" s="189"/>
      <c r="L50" s="189"/>
      <c r="M50" s="198"/>
      <c r="N50" s="197"/>
      <c r="O50" s="191"/>
      <c r="P50" s="191" t="s">
        <v>204</v>
      </c>
      <c r="Q50" s="195" t="s">
        <v>258</v>
      </c>
      <c r="R50" s="193" t="s">
        <v>67</v>
      </c>
      <c r="S50" s="189" t="s">
        <v>202</v>
      </c>
      <c r="T50" s="192" t="s">
        <v>3</v>
      </c>
    </row>
    <row r="51" spans="1:20">
      <c r="A51" s="5">
        <f t="shared" si="1"/>
        <v>50</v>
      </c>
      <c r="B51" s="5" t="s">
        <v>34</v>
      </c>
      <c r="C51" s="19">
        <v>4</v>
      </c>
      <c r="D51" s="5" t="s">
        <v>82</v>
      </c>
      <c r="E51" s="5" t="s">
        <v>34</v>
      </c>
      <c r="F51" s="5" t="s">
        <v>6</v>
      </c>
      <c r="G51" s="32">
        <v>1</v>
      </c>
      <c r="H51" s="22" t="str">
        <f t="shared" si="0"/>
        <v>AI A 1</v>
      </c>
      <c r="I51" s="6"/>
      <c r="J51" s="36"/>
      <c r="K51" s="35"/>
      <c r="L51" s="35"/>
      <c r="M51" s="7"/>
      <c r="N51" s="30"/>
      <c r="O51" s="8"/>
      <c r="P51" s="90" t="s">
        <v>205</v>
      </c>
      <c r="Q51" s="11" t="s">
        <v>144</v>
      </c>
      <c r="R51" s="9" t="s">
        <v>67</v>
      </c>
      <c r="S51" s="57" t="s">
        <v>202</v>
      </c>
      <c r="T51" s="9" t="s">
        <v>3</v>
      </c>
    </row>
    <row r="52" spans="1:20">
      <c r="A52" s="5">
        <f t="shared" si="1"/>
        <v>51</v>
      </c>
      <c r="B52" s="5" t="s">
        <v>34</v>
      </c>
      <c r="C52" s="19">
        <v>4</v>
      </c>
      <c r="D52" s="5" t="s">
        <v>82</v>
      </c>
      <c r="E52" s="5" t="s">
        <v>34</v>
      </c>
      <c r="F52" s="5" t="s">
        <v>6</v>
      </c>
      <c r="G52" s="32">
        <v>2</v>
      </c>
      <c r="H52" s="22" t="str">
        <f t="shared" si="0"/>
        <v>AI A 2</v>
      </c>
      <c r="I52" s="6"/>
      <c r="J52" s="36"/>
      <c r="K52" s="35"/>
      <c r="L52" s="35"/>
      <c r="M52" s="7"/>
      <c r="N52" s="30"/>
      <c r="O52" s="8"/>
      <c r="P52" s="90" t="s">
        <v>205</v>
      </c>
      <c r="Q52" s="11" t="s">
        <v>144</v>
      </c>
      <c r="R52" s="9" t="s">
        <v>67</v>
      </c>
      <c r="S52" s="57" t="s">
        <v>202</v>
      </c>
      <c r="T52" s="9" t="s">
        <v>3</v>
      </c>
    </row>
    <row r="53" spans="1:20">
      <c r="A53" s="5">
        <f t="shared" si="1"/>
        <v>52</v>
      </c>
      <c r="B53" s="5" t="s">
        <v>34</v>
      </c>
      <c r="C53" s="19">
        <v>4</v>
      </c>
      <c r="D53" s="5" t="s">
        <v>82</v>
      </c>
      <c r="E53" s="5" t="s">
        <v>34</v>
      </c>
      <c r="F53" s="5" t="s">
        <v>6</v>
      </c>
      <c r="G53" s="32">
        <v>3</v>
      </c>
      <c r="H53" s="22" t="str">
        <f t="shared" si="0"/>
        <v>AI A 3</v>
      </c>
      <c r="I53" s="6"/>
      <c r="J53" s="36"/>
      <c r="K53" s="35"/>
      <c r="L53" s="35"/>
      <c r="M53" s="7"/>
      <c r="N53" s="30"/>
      <c r="O53" s="8"/>
      <c r="P53" s="90" t="s">
        <v>205</v>
      </c>
      <c r="Q53" s="11" t="s">
        <v>144</v>
      </c>
      <c r="R53" s="9" t="s">
        <v>67</v>
      </c>
      <c r="S53" s="57" t="s">
        <v>202</v>
      </c>
      <c r="T53" s="9" t="s">
        <v>3</v>
      </c>
    </row>
    <row r="54" spans="1:20">
      <c r="A54" s="5">
        <f t="shared" si="1"/>
        <v>53</v>
      </c>
      <c r="B54" s="5" t="s">
        <v>34</v>
      </c>
      <c r="C54" s="19">
        <v>4</v>
      </c>
      <c r="D54" s="5" t="s">
        <v>82</v>
      </c>
      <c r="E54" s="5" t="s">
        <v>34</v>
      </c>
      <c r="F54" s="5" t="s">
        <v>6</v>
      </c>
      <c r="G54" s="32">
        <v>4</v>
      </c>
      <c r="H54" s="22" t="str">
        <f t="shared" si="0"/>
        <v>AI A 4</v>
      </c>
      <c r="I54" s="6"/>
      <c r="J54" s="36"/>
      <c r="K54" s="35"/>
      <c r="L54" s="35"/>
      <c r="M54" s="7"/>
      <c r="N54" s="30"/>
      <c r="O54" s="8"/>
      <c r="P54" s="90" t="s">
        <v>211</v>
      </c>
      <c r="Q54" s="11" t="s">
        <v>144</v>
      </c>
      <c r="R54" s="9" t="s">
        <v>67</v>
      </c>
      <c r="S54" s="57" t="s">
        <v>202</v>
      </c>
      <c r="T54" s="9" t="s">
        <v>3</v>
      </c>
    </row>
    <row r="55" spans="1:20">
      <c r="A55" s="5">
        <f t="shared" si="1"/>
        <v>54</v>
      </c>
      <c r="B55" s="5" t="s">
        <v>34</v>
      </c>
      <c r="C55" s="19">
        <v>4</v>
      </c>
      <c r="D55" s="5" t="s">
        <v>82</v>
      </c>
      <c r="E55" s="5" t="s">
        <v>34</v>
      </c>
      <c r="F55" s="5" t="s">
        <v>6</v>
      </c>
      <c r="G55" s="32">
        <v>5</v>
      </c>
      <c r="H55" s="22" t="str">
        <f t="shared" si="0"/>
        <v>AI A 5</v>
      </c>
      <c r="I55" s="6"/>
      <c r="J55" s="36"/>
      <c r="K55" s="35"/>
      <c r="L55" s="35"/>
      <c r="M55" s="7"/>
      <c r="N55" s="30"/>
      <c r="O55" s="8"/>
      <c r="P55" s="90" t="s">
        <v>208</v>
      </c>
      <c r="Q55" s="11" t="s">
        <v>144</v>
      </c>
      <c r="R55" s="9" t="s">
        <v>67</v>
      </c>
      <c r="S55" s="57" t="s">
        <v>202</v>
      </c>
      <c r="T55" s="9" t="s">
        <v>3</v>
      </c>
    </row>
    <row r="56" spans="1:20">
      <c r="A56" s="5">
        <f t="shared" si="1"/>
        <v>55</v>
      </c>
      <c r="B56" s="5" t="s">
        <v>34</v>
      </c>
      <c r="C56" s="19">
        <v>4</v>
      </c>
      <c r="D56" s="5" t="s">
        <v>82</v>
      </c>
      <c r="E56" s="5" t="s">
        <v>34</v>
      </c>
      <c r="F56" s="5" t="s">
        <v>6</v>
      </c>
      <c r="G56" s="32">
        <v>6</v>
      </c>
      <c r="H56" s="22" t="str">
        <f t="shared" si="0"/>
        <v>AI A 6</v>
      </c>
      <c r="I56" s="6"/>
      <c r="J56" s="5"/>
      <c r="K56" s="35"/>
      <c r="L56" s="35"/>
      <c r="M56" s="7"/>
      <c r="N56" s="30"/>
      <c r="O56" s="8"/>
      <c r="P56" s="90" t="s">
        <v>208</v>
      </c>
      <c r="Q56" s="11" t="s">
        <v>144</v>
      </c>
      <c r="R56" s="9" t="s">
        <v>67</v>
      </c>
      <c r="S56" s="57" t="s">
        <v>202</v>
      </c>
      <c r="T56" s="9" t="s">
        <v>3</v>
      </c>
    </row>
    <row r="57" spans="1:20">
      <c r="A57" s="5">
        <f t="shared" si="1"/>
        <v>56</v>
      </c>
      <c r="B57" s="5" t="s">
        <v>34</v>
      </c>
      <c r="C57" s="19">
        <v>4</v>
      </c>
      <c r="D57" s="5" t="s">
        <v>82</v>
      </c>
      <c r="E57" s="5" t="s">
        <v>34</v>
      </c>
      <c r="F57" s="5" t="s">
        <v>6</v>
      </c>
      <c r="G57" s="32">
        <v>7</v>
      </c>
      <c r="H57" s="22" t="str">
        <f t="shared" si="0"/>
        <v>AI A 7</v>
      </c>
      <c r="I57" s="6"/>
      <c r="J57" s="5"/>
      <c r="K57" s="35"/>
      <c r="L57" s="35"/>
      <c r="M57" s="7"/>
      <c r="N57" s="30"/>
      <c r="O57" s="8"/>
      <c r="P57" s="90" t="s">
        <v>205</v>
      </c>
      <c r="Q57" s="11" t="s">
        <v>144</v>
      </c>
      <c r="R57" s="9" t="s">
        <v>67</v>
      </c>
      <c r="S57" s="57" t="s">
        <v>202</v>
      </c>
      <c r="T57" s="9" t="s">
        <v>3</v>
      </c>
    </row>
    <row r="58" spans="1:20" s="143" customFormat="1">
      <c r="A58" s="90">
        <f t="shared" si="1"/>
        <v>57</v>
      </c>
      <c r="B58" s="148" t="s">
        <v>34</v>
      </c>
      <c r="C58" s="202" t="s">
        <v>261</v>
      </c>
      <c r="D58" s="90" t="s">
        <v>82</v>
      </c>
      <c r="E58" s="143" t="s">
        <v>34</v>
      </c>
      <c r="F58" s="90" t="s">
        <v>6</v>
      </c>
      <c r="G58" s="190">
        <v>8</v>
      </c>
      <c r="H58" s="90" t="str">
        <f t="shared" si="0"/>
        <v>AI A 8</v>
      </c>
      <c r="I58" s="200"/>
      <c r="J58" s="90"/>
      <c r="K58" s="152"/>
      <c r="M58" s="199"/>
      <c r="N58" s="196"/>
      <c r="O58" s="90"/>
      <c r="P58" s="150" t="s">
        <v>209</v>
      </c>
      <c r="Q58" s="194" t="s">
        <v>259</v>
      </c>
      <c r="R58" s="38" t="s">
        <v>68</v>
      </c>
      <c r="S58" s="90" t="s">
        <v>202</v>
      </c>
      <c r="T58" s="184" t="s">
        <v>3</v>
      </c>
    </row>
    <row r="59" spans="1:20">
      <c r="A59" s="5">
        <f t="shared" si="1"/>
        <v>58</v>
      </c>
      <c r="B59" s="5" t="s">
        <v>34</v>
      </c>
      <c r="C59" s="19">
        <v>4</v>
      </c>
      <c r="D59" s="5" t="s">
        <v>82</v>
      </c>
      <c r="E59" s="5" t="s">
        <v>34</v>
      </c>
      <c r="F59" s="5" t="s">
        <v>6</v>
      </c>
      <c r="G59" s="32">
        <v>9</v>
      </c>
      <c r="H59" s="22" t="str">
        <f t="shared" si="0"/>
        <v>AI A 9</v>
      </c>
      <c r="I59" s="6"/>
      <c r="J59" s="36"/>
      <c r="K59" s="35"/>
      <c r="L59" s="35"/>
      <c r="M59" s="7"/>
      <c r="N59" s="30"/>
      <c r="O59" s="8"/>
      <c r="P59" s="90" t="s">
        <v>210</v>
      </c>
      <c r="Q59" s="11" t="s">
        <v>203</v>
      </c>
      <c r="R59" s="9" t="s">
        <v>68</v>
      </c>
      <c r="S59" s="57" t="s">
        <v>202</v>
      </c>
      <c r="T59" s="9" t="s">
        <v>3</v>
      </c>
    </row>
    <row r="60" spans="1:20">
      <c r="A60" s="5">
        <f t="shared" si="1"/>
        <v>59</v>
      </c>
      <c r="B60" s="5" t="s">
        <v>34</v>
      </c>
      <c r="C60" s="19">
        <v>4</v>
      </c>
      <c r="D60" s="5" t="s">
        <v>82</v>
      </c>
      <c r="E60" s="5" t="s">
        <v>34</v>
      </c>
      <c r="F60" s="5" t="s">
        <v>6</v>
      </c>
      <c r="G60" s="16">
        <v>10</v>
      </c>
      <c r="H60" s="22" t="str">
        <f t="shared" si="0"/>
        <v>AI A 10</v>
      </c>
      <c r="I60" s="6"/>
      <c r="J60" s="36"/>
      <c r="K60" s="35"/>
      <c r="L60" s="35"/>
      <c r="M60" s="7"/>
      <c r="N60" s="26"/>
      <c r="O60" s="8"/>
      <c r="P60" s="90" t="s">
        <v>209</v>
      </c>
      <c r="Q60" s="11" t="s">
        <v>213</v>
      </c>
      <c r="R60" s="9" t="s">
        <v>68</v>
      </c>
      <c r="S60" s="57" t="s">
        <v>202</v>
      </c>
      <c r="T60" s="9" t="s">
        <v>3</v>
      </c>
    </row>
    <row r="61" spans="1:20">
      <c r="A61" s="5">
        <f t="shared" si="1"/>
        <v>60</v>
      </c>
      <c r="B61" s="5" t="s">
        <v>34</v>
      </c>
      <c r="C61" s="19">
        <v>4</v>
      </c>
      <c r="D61" s="5" t="s">
        <v>82</v>
      </c>
      <c r="E61" s="5" t="s">
        <v>34</v>
      </c>
      <c r="F61" s="5" t="s">
        <v>6</v>
      </c>
      <c r="G61" s="16">
        <v>11</v>
      </c>
      <c r="H61" s="22" t="str">
        <f t="shared" si="0"/>
        <v>AI A 11</v>
      </c>
      <c r="I61" s="6"/>
      <c r="J61" s="36"/>
      <c r="K61" s="35"/>
      <c r="L61" s="35"/>
      <c r="M61" s="45"/>
      <c r="N61" s="26"/>
      <c r="O61" s="44"/>
      <c r="P61" s="90" t="s">
        <v>207</v>
      </c>
      <c r="Q61" s="11" t="s">
        <v>212</v>
      </c>
      <c r="R61" s="9" t="s">
        <v>145</v>
      </c>
      <c r="S61" s="57" t="s">
        <v>202</v>
      </c>
      <c r="T61" s="9" t="s">
        <v>3</v>
      </c>
    </row>
    <row r="62" spans="1:20">
      <c r="A62" s="5">
        <f t="shared" si="1"/>
        <v>61</v>
      </c>
      <c r="B62" s="5" t="s">
        <v>34</v>
      </c>
      <c r="C62" s="19">
        <v>4</v>
      </c>
      <c r="D62" s="5" t="s">
        <v>82</v>
      </c>
      <c r="E62" s="5" t="s">
        <v>34</v>
      </c>
      <c r="F62" s="5" t="s">
        <v>6</v>
      </c>
      <c r="G62" s="16">
        <v>12</v>
      </c>
      <c r="H62" s="22" t="str">
        <f t="shared" si="0"/>
        <v>AI A 12</v>
      </c>
      <c r="I62" s="6"/>
      <c r="J62" s="5"/>
      <c r="K62" s="35"/>
      <c r="L62" s="35"/>
      <c r="M62" s="7"/>
      <c r="N62" s="26"/>
      <c r="O62" s="8"/>
      <c r="P62" s="90" t="s">
        <v>208</v>
      </c>
      <c r="Q62" s="11" t="s">
        <v>143</v>
      </c>
      <c r="R62" s="9" t="s">
        <v>67</v>
      </c>
      <c r="S62" s="57" t="s">
        <v>202</v>
      </c>
      <c r="T62" s="9" t="s">
        <v>3</v>
      </c>
    </row>
    <row r="63" spans="1:20">
      <c r="A63" s="5">
        <f t="shared" si="1"/>
        <v>62</v>
      </c>
      <c r="B63" s="5" t="s">
        <v>34</v>
      </c>
      <c r="C63" s="19">
        <v>4</v>
      </c>
      <c r="D63" s="5" t="s">
        <v>82</v>
      </c>
      <c r="E63" s="5" t="s">
        <v>34</v>
      </c>
      <c r="F63" s="5" t="s">
        <v>6</v>
      </c>
      <c r="G63" s="16">
        <v>13</v>
      </c>
      <c r="H63" s="22" t="str">
        <f t="shared" si="0"/>
        <v>AI A 13</v>
      </c>
      <c r="I63" s="6"/>
      <c r="J63" s="5"/>
      <c r="K63" s="35"/>
      <c r="L63" s="35"/>
      <c r="M63" s="7"/>
      <c r="N63" s="26"/>
      <c r="O63" s="8"/>
      <c r="P63" s="90" t="s">
        <v>208</v>
      </c>
      <c r="Q63" s="11" t="s">
        <v>143</v>
      </c>
      <c r="R63" s="9" t="s">
        <v>67</v>
      </c>
      <c r="S63" s="57" t="s">
        <v>202</v>
      </c>
      <c r="T63" s="9" t="s">
        <v>3</v>
      </c>
    </row>
    <row r="64" spans="1:20">
      <c r="A64" s="5">
        <f t="shared" si="1"/>
        <v>63</v>
      </c>
      <c r="B64" s="5" t="s">
        <v>34</v>
      </c>
      <c r="C64" s="19">
        <v>4</v>
      </c>
      <c r="D64" s="5" t="s">
        <v>82</v>
      </c>
      <c r="E64" s="5" t="s">
        <v>34</v>
      </c>
      <c r="F64" s="5" t="s">
        <v>6</v>
      </c>
      <c r="G64" s="16">
        <v>14</v>
      </c>
      <c r="H64" s="22" t="str">
        <f t="shared" si="0"/>
        <v>AI A 14</v>
      </c>
      <c r="I64" s="6"/>
      <c r="J64" s="5"/>
      <c r="K64" s="35"/>
      <c r="L64" s="35"/>
      <c r="M64" s="7"/>
      <c r="N64" s="26"/>
      <c r="O64" s="8"/>
      <c r="P64" s="90" t="s">
        <v>206</v>
      </c>
      <c r="Q64" s="11" t="s">
        <v>164</v>
      </c>
      <c r="R64" s="9" t="s">
        <v>67</v>
      </c>
      <c r="S64" s="57" t="s">
        <v>202</v>
      </c>
      <c r="T64" s="9" t="s">
        <v>3</v>
      </c>
    </row>
    <row r="65" spans="1:20" s="73" customFormat="1" ht="17.25" thickBot="1">
      <c r="A65" s="67">
        <f t="shared" si="1"/>
        <v>64</v>
      </c>
      <c r="B65" s="67" t="s">
        <v>34</v>
      </c>
      <c r="C65" s="68">
        <v>4</v>
      </c>
      <c r="D65" s="67" t="s">
        <v>82</v>
      </c>
      <c r="E65" s="67" t="s">
        <v>34</v>
      </c>
      <c r="F65" s="67" t="s">
        <v>6</v>
      </c>
      <c r="G65" s="82">
        <v>15</v>
      </c>
      <c r="H65" s="70" t="str">
        <f t="shared" si="0"/>
        <v>AI A 15</v>
      </c>
      <c r="I65" s="75"/>
      <c r="J65" s="67"/>
      <c r="K65" s="67"/>
      <c r="L65" s="83"/>
      <c r="M65" s="77"/>
      <c r="N65" s="71"/>
      <c r="O65" s="71"/>
      <c r="P65" s="91" t="s">
        <v>207</v>
      </c>
      <c r="Q65" s="85" t="s">
        <v>212</v>
      </c>
      <c r="R65" s="72" t="s">
        <v>145</v>
      </c>
      <c r="S65" s="86" t="s">
        <v>202</v>
      </c>
      <c r="T65" s="92" t="s">
        <v>3</v>
      </c>
    </row>
    <row r="66" spans="1:20" ht="17.25" customHeight="1" thickTop="1">
      <c r="A66" s="57">
        <f t="shared" si="1"/>
        <v>65</v>
      </c>
      <c r="B66" s="57" t="s">
        <v>5</v>
      </c>
      <c r="C66" s="58">
        <v>6</v>
      </c>
      <c r="D66" s="57" t="s">
        <v>0</v>
      </c>
      <c r="E66" s="57" t="s">
        <v>5</v>
      </c>
      <c r="F66" s="57" t="s">
        <v>6</v>
      </c>
      <c r="G66" s="79" t="s">
        <v>47</v>
      </c>
      <c r="H66" s="60" t="str">
        <f t="shared" ref="H66:H129" si="2">E66&amp;" "&amp;F66&amp;" "&amp;G66</f>
        <v>AO A 00</v>
      </c>
      <c r="I66" s="61"/>
      <c r="J66" s="127"/>
      <c r="K66" s="107"/>
      <c r="L66" s="110"/>
      <c r="M66" s="97"/>
      <c r="N66" s="98"/>
      <c r="O66" s="64"/>
      <c r="P66" s="29" t="s">
        <v>253</v>
      </c>
      <c r="Q66" s="65"/>
      <c r="R66" s="66"/>
      <c r="S66" s="89" t="s">
        <v>7</v>
      </c>
      <c r="T66" s="66" t="s">
        <v>3</v>
      </c>
    </row>
    <row r="67" spans="1:20">
      <c r="A67" s="5">
        <f t="shared" si="1"/>
        <v>66</v>
      </c>
      <c r="B67" s="5" t="s">
        <v>5</v>
      </c>
      <c r="C67" s="19">
        <v>6</v>
      </c>
      <c r="D67" s="5" t="s">
        <v>0</v>
      </c>
      <c r="E67" s="5" t="s">
        <v>5</v>
      </c>
      <c r="F67" s="5" t="s">
        <v>6</v>
      </c>
      <c r="G67" s="16" t="s">
        <v>48</v>
      </c>
      <c r="H67" s="22" t="str">
        <f t="shared" si="2"/>
        <v>AO A 01</v>
      </c>
      <c r="I67" s="6"/>
      <c r="J67" s="109"/>
      <c r="K67" s="109"/>
      <c r="L67" s="110"/>
      <c r="M67" s="99"/>
      <c r="N67" s="8"/>
      <c r="O67" s="8"/>
      <c r="P67" s="29" t="s">
        <v>216</v>
      </c>
      <c r="Q67" s="11"/>
      <c r="R67" s="9"/>
      <c r="S67" s="33" t="s">
        <v>7</v>
      </c>
      <c r="T67" s="9" t="s">
        <v>3</v>
      </c>
    </row>
    <row r="68" spans="1:20">
      <c r="A68" s="5">
        <f t="shared" si="1"/>
        <v>67</v>
      </c>
      <c r="B68" s="5" t="s">
        <v>5</v>
      </c>
      <c r="C68" s="19">
        <v>6</v>
      </c>
      <c r="D68" s="5" t="s">
        <v>0</v>
      </c>
      <c r="E68" s="5" t="s">
        <v>5</v>
      </c>
      <c r="F68" s="5" t="s">
        <v>6</v>
      </c>
      <c r="G68" s="16" t="s">
        <v>39</v>
      </c>
      <c r="H68" s="22" t="str">
        <f t="shared" si="2"/>
        <v>AO A 02</v>
      </c>
      <c r="I68" s="6"/>
      <c r="J68" s="128"/>
      <c r="K68" s="109"/>
      <c r="L68" s="108"/>
      <c r="M68" s="99"/>
      <c r="N68" s="30"/>
      <c r="O68" s="8"/>
      <c r="P68" s="29" t="s">
        <v>254</v>
      </c>
      <c r="Q68" s="11"/>
      <c r="R68" s="9"/>
      <c r="S68" s="33" t="s">
        <v>7</v>
      </c>
      <c r="T68" s="9" t="s">
        <v>3</v>
      </c>
    </row>
    <row r="69" spans="1:20">
      <c r="A69" s="5">
        <f t="shared" ref="A69:A132" si="3">IF($H69="","",ROW()-1)</f>
        <v>68</v>
      </c>
      <c r="B69" s="5" t="s">
        <v>5</v>
      </c>
      <c r="C69" s="19">
        <v>6</v>
      </c>
      <c r="D69" s="5" t="s">
        <v>0</v>
      </c>
      <c r="E69" s="5" t="s">
        <v>5</v>
      </c>
      <c r="F69" s="5" t="s">
        <v>6</v>
      </c>
      <c r="G69" s="16" t="s">
        <v>40</v>
      </c>
      <c r="H69" s="22" t="str">
        <f t="shared" si="2"/>
        <v>AO A 03</v>
      </c>
      <c r="I69" s="6"/>
      <c r="J69" s="109"/>
      <c r="K69" s="110"/>
      <c r="L69" s="110"/>
      <c r="M69" s="42"/>
      <c r="N69" s="8"/>
      <c r="O69" s="8"/>
      <c r="P69" s="29"/>
      <c r="Q69" s="11"/>
      <c r="R69" s="9"/>
      <c r="S69" s="33"/>
      <c r="T69" s="9"/>
    </row>
    <row r="70" spans="1:20">
      <c r="A70" s="5">
        <f t="shared" si="3"/>
        <v>69</v>
      </c>
      <c r="B70" s="5" t="s">
        <v>5</v>
      </c>
      <c r="C70" s="19">
        <v>6</v>
      </c>
      <c r="D70" s="5" t="s">
        <v>0</v>
      </c>
      <c r="E70" s="5" t="s">
        <v>5</v>
      </c>
      <c r="F70" s="5" t="s">
        <v>6</v>
      </c>
      <c r="G70" s="16" t="s">
        <v>41</v>
      </c>
      <c r="H70" s="22" t="str">
        <f t="shared" si="2"/>
        <v>AO A 04</v>
      </c>
      <c r="I70" s="6"/>
      <c r="J70" s="109"/>
      <c r="K70" s="110"/>
      <c r="L70" s="110"/>
      <c r="M70" s="42"/>
      <c r="N70" s="8"/>
      <c r="O70" s="8"/>
      <c r="P70" s="29" t="s">
        <v>236</v>
      </c>
      <c r="Q70" s="11"/>
      <c r="R70" s="9"/>
      <c r="S70" s="33" t="s">
        <v>7</v>
      </c>
      <c r="T70" s="9" t="s">
        <v>3</v>
      </c>
    </row>
    <row r="71" spans="1:20">
      <c r="A71" s="5">
        <f t="shared" si="3"/>
        <v>70</v>
      </c>
      <c r="B71" s="5" t="s">
        <v>5</v>
      </c>
      <c r="C71" s="19">
        <v>6</v>
      </c>
      <c r="D71" s="5" t="s">
        <v>0</v>
      </c>
      <c r="E71" s="5" t="s">
        <v>5</v>
      </c>
      <c r="F71" s="5" t="s">
        <v>6</v>
      </c>
      <c r="G71" s="16" t="s">
        <v>42</v>
      </c>
      <c r="H71" s="22" t="str">
        <f t="shared" si="2"/>
        <v>AO A 05</v>
      </c>
      <c r="I71" s="6"/>
      <c r="J71" s="109"/>
      <c r="K71" s="110"/>
      <c r="L71" s="110"/>
      <c r="M71" s="42"/>
      <c r="N71" s="41"/>
      <c r="O71" s="8"/>
      <c r="P71" s="29" t="s">
        <v>255</v>
      </c>
      <c r="Q71" s="11"/>
      <c r="R71" s="9"/>
      <c r="S71" s="33" t="s">
        <v>7</v>
      </c>
      <c r="T71" s="9" t="s">
        <v>3</v>
      </c>
    </row>
    <row r="72" spans="1:20">
      <c r="A72" s="5">
        <f t="shared" si="3"/>
        <v>71</v>
      </c>
      <c r="B72" s="5" t="s">
        <v>5</v>
      </c>
      <c r="C72" s="19">
        <v>6</v>
      </c>
      <c r="D72" s="5" t="s">
        <v>0</v>
      </c>
      <c r="E72" s="5" t="s">
        <v>5</v>
      </c>
      <c r="F72" s="5" t="s">
        <v>6</v>
      </c>
      <c r="G72" s="16" t="s">
        <v>43</v>
      </c>
      <c r="H72" s="22" t="str">
        <f t="shared" si="2"/>
        <v>AO A 06</v>
      </c>
      <c r="I72" s="6"/>
      <c r="J72" s="121"/>
      <c r="K72" s="110"/>
      <c r="L72" s="108"/>
      <c r="M72" s="99"/>
      <c r="N72" s="100"/>
      <c r="O72" s="101"/>
      <c r="P72" s="101"/>
      <c r="Q72" s="11"/>
      <c r="R72" s="9"/>
      <c r="S72" s="33"/>
      <c r="T72" s="9"/>
    </row>
    <row r="73" spans="1:20">
      <c r="A73" s="5">
        <f t="shared" si="3"/>
        <v>72</v>
      </c>
      <c r="B73" s="5" t="s">
        <v>5</v>
      </c>
      <c r="C73" s="19">
        <v>6</v>
      </c>
      <c r="D73" s="5" t="s">
        <v>0</v>
      </c>
      <c r="E73" s="5" t="s">
        <v>5</v>
      </c>
      <c r="F73" s="5" t="s">
        <v>6</v>
      </c>
      <c r="G73" s="16" t="s">
        <v>44</v>
      </c>
      <c r="H73" s="22" t="str">
        <f t="shared" si="2"/>
        <v>AO A 07</v>
      </c>
      <c r="I73" s="6"/>
      <c r="J73" s="126"/>
      <c r="K73" s="126"/>
      <c r="L73" s="110"/>
      <c r="M73" s="102"/>
      <c r="N73" s="41"/>
      <c r="O73" s="103"/>
      <c r="P73" s="29"/>
      <c r="Q73" s="11"/>
      <c r="R73" s="9"/>
      <c r="S73" s="33" t="s">
        <v>7</v>
      </c>
      <c r="T73" s="9" t="s">
        <v>3</v>
      </c>
    </row>
    <row r="74" spans="1:20" ht="16.5" customHeight="1">
      <c r="A74" s="5">
        <f t="shared" si="3"/>
        <v>73</v>
      </c>
      <c r="B74" s="5" t="s">
        <v>5</v>
      </c>
      <c r="C74" s="19">
        <v>6</v>
      </c>
      <c r="D74" s="5" t="s">
        <v>0</v>
      </c>
      <c r="E74" s="5" t="s">
        <v>5</v>
      </c>
      <c r="F74" s="5" t="s">
        <v>6</v>
      </c>
      <c r="G74" s="16" t="s">
        <v>45</v>
      </c>
      <c r="H74" s="22" t="str">
        <f t="shared" si="2"/>
        <v>AO A 08</v>
      </c>
      <c r="I74" s="6"/>
      <c r="J74" s="129"/>
      <c r="K74" s="111"/>
      <c r="L74" s="113"/>
      <c r="M74" s="99"/>
      <c r="N74" s="104"/>
      <c r="O74" s="64"/>
      <c r="P74" s="29" t="s">
        <v>256</v>
      </c>
      <c r="Q74" s="11"/>
      <c r="R74" s="9"/>
      <c r="S74" s="33" t="s">
        <v>7</v>
      </c>
      <c r="T74" s="9" t="s">
        <v>3</v>
      </c>
    </row>
    <row r="75" spans="1:20">
      <c r="A75" s="5">
        <f t="shared" si="3"/>
        <v>74</v>
      </c>
      <c r="B75" s="5" t="s">
        <v>5</v>
      </c>
      <c r="C75" s="19">
        <v>6</v>
      </c>
      <c r="D75" s="5" t="s">
        <v>0</v>
      </c>
      <c r="E75" s="5" t="s">
        <v>5</v>
      </c>
      <c r="F75" s="5" t="s">
        <v>6</v>
      </c>
      <c r="G75" s="16" t="s">
        <v>46</v>
      </c>
      <c r="H75" s="22" t="str">
        <f t="shared" si="2"/>
        <v>AO A 09</v>
      </c>
      <c r="I75" s="6"/>
      <c r="J75" s="130"/>
      <c r="K75" s="112"/>
      <c r="L75" s="114"/>
      <c r="M75" s="99"/>
      <c r="N75" s="104"/>
      <c r="O75" s="8"/>
      <c r="P75" s="29" t="s">
        <v>215</v>
      </c>
      <c r="Q75" s="11"/>
      <c r="R75" s="9"/>
      <c r="S75" s="33" t="s">
        <v>7</v>
      </c>
      <c r="T75" s="9" t="s">
        <v>3</v>
      </c>
    </row>
    <row r="76" spans="1:20" ht="16.5" customHeight="1">
      <c r="A76" s="5">
        <f t="shared" si="3"/>
        <v>75</v>
      </c>
      <c r="B76" s="5" t="s">
        <v>5</v>
      </c>
      <c r="C76" s="19">
        <v>6</v>
      </c>
      <c r="D76" s="5" t="s">
        <v>0</v>
      </c>
      <c r="E76" s="5" t="s">
        <v>5</v>
      </c>
      <c r="F76" s="5" t="s">
        <v>6</v>
      </c>
      <c r="G76" s="16" t="s">
        <v>49</v>
      </c>
      <c r="H76" s="22" t="str">
        <f t="shared" si="2"/>
        <v>AO A 10</v>
      </c>
      <c r="I76" s="6"/>
      <c r="J76" s="112"/>
      <c r="K76" s="113"/>
      <c r="L76" s="113"/>
      <c r="M76" s="105"/>
      <c r="N76" s="106"/>
      <c r="O76" s="64"/>
      <c r="P76" s="29"/>
      <c r="Q76" s="11"/>
      <c r="R76" s="9"/>
      <c r="S76" s="33"/>
      <c r="T76" s="9"/>
    </row>
    <row r="77" spans="1:20">
      <c r="A77" s="5">
        <f t="shared" si="3"/>
        <v>76</v>
      </c>
      <c r="B77" s="5" t="s">
        <v>5</v>
      </c>
      <c r="C77" s="19">
        <v>6</v>
      </c>
      <c r="D77" s="5" t="s">
        <v>0</v>
      </c>
      <c r="E77" s="5" t="s">
        <v>5</v>
      </c>
      <c r="F77" s="5" t="s">
        <v>6</v>
      </c>
      <c r="G77" s="16" t="s">
        <v>50</v>
      </c>
      <c r="H77" s="22" t="str">
        <f t="shared" si="2"/>
        <v>AO A 11</v>
      </c>
      <c r="I77" s="6"/>
      <c r="J77" s="111"/>
      <c r="K77" s="111"/>
      <c r="L77" s="132"/>
      <c r="M77" s="206"/>
      <c r="N77" s="80"/>
      <c r="O77" s="64"/>
      <c r="P77" s="81" t="s">
        <v>214</v>
      </c>
      <c r="Q77" s="11"/>
      <c r="R77" s="9"/>
      <c r="S77" s="33" t="s">
        <v>7</v>
      </c>
      <c r="T77" s="9" t="s">
        <v>3</v>
      </c>
    </row>
    <row r="78" spans="1:20">
      <c r="A78" s="5">
        <f t="shared" si="3"/>
        <v>77</v>
      </c>
      <c r="B78" s="5" t="s">
        <v>5</v>
      </c>
      <c r="C78" s="19">
        <v>6</v>
      </c>
      <c r="D78" s="5" t="s">
        <v>0</v>
      </c>
      <c r="E78" s="5" t="s">
        <v>5</v>
      </c>
      <c r="F78" s="5" t="s">
        <v>6</v>
      </c>
      <c r="G78" s="16" t="s">
        <v>51</v>
      </c>
      <c r="H78" s="22" t="str">
        <f t="shared" si="2"/>
        <v>AO A 12</v>
      </c>
      <c r="I78" s="6"/>
      <c r="J78" s="112"/>
      <c r="K78" s="112"/>
      <c r="L78" s="133"/>
      <c r="M78" s="207"/>
      <c r="N78" s="38"/>
      <c r="O78" s="8"/>
      <c r="P78" s="29"/>
      <c r="Q78" s="11"/>
      <c r="R78" s="9"/>
      <c r="S78" s="33" t="s">
        <v>7</v>
      </c>
      <c r="T78" s="9" t="s">
        <v>3</v>
      </c>
    </row>
    <row r="79" spans="1:20">
      <c r="A79" s="5">
        <f t="shared" si="3"/>
        <v>78</v>
      </c>
      <c r="B79" s="5" t="s">
        <v>5</v>
      </c>
      <c r="C79" s="19">
        <v>6</v>
      </c>
      <c r="D79" s="5" t="s">
        <v>0</v>
      </c>
      <c r="E79" s="5" t="s">
        <v>5</v>
      </c>
      <c r="F79" s="5" t="s">
        <v>6</v>
      </c>
      <c r="G79" s="16" t="s">
        <v>54</v>
      </c>
      <c r="H79" s="22" t="str">
        <f t="shared" si="2"/>
        <v>AO A 13</v>
      </c>
      <c r="I79" s="6"/>
      <c r="J79" s="112"/>
      <c r="K79" s="112"/>
      <c r="L79" s="113"/>
      <c r="M79" s="7"/>
      <c r="N79" s="30"/>
      <c r="O79" s="8"/>
      <c r="P79" s="96"/>
      <c r="Q79" s="11"/>
      <c r="R79" s="9"/>
      <c r="S79" s="33"/>
      <c r="T79" s="9"/>
    </row>
    <row r="80" spans="1:20">
      <c r="A80" s="5">
        <f t="shared" si="3"/>
        <v>79</v>
      </c>
      <c r="B80" s="5" t="s">
        <v>5</v>
      </c>
      <c r="C80" s="19">
        <v>6</v>
      </c>
      <c r="D80" s="5" t="s">
        <v>0</v>
      </c>
      <c r="E80" s="5" t="s">
        <v>5</v>
      </c>
      <c r="F80" s="5" t="s">
        <v>6</v>
      </c>
      <c r="G80" s="16" t="s">
        <v>52</v>
      </c>
      <c r="H80" s="22" t="str">
        <f t="shared" si="2"/>
        <v>AO A 14</v>
      </c>
      <c r="I80" s="6"/>
      <c r="J80" s="112"/>
      <c r="K80" s="112"/>
      <c r="L80" s="113"/>
      <c r="M80" s="7"/>
      <c r="N80" s="30"/>
      <c r="O80" s="8"/>
      <c r="P80" s="29" t="s">
        <v>235</v>
      </c>
      <c r="Q80" s="11"/>
      <c r="R80" s="9"/>
      <c r="S80" s="33" t="s">
        <v>7</v>
      </c>
      <c r="T80" s="9" t="s">
        <v>3</v>
      </c>
    </row>
    <row r="81" spans="1:20" s="73" customFormat="1" ht="17.25" thickBot="1">
      <c r="A81" s="67">
        <f t="shared" si="3"/>
        <v>80</v>
      </c>
      <c r="B81" s="67" t="s">
        <v>5</v>
      </c>
      <c r="C81" s="68">
        <v>6</v>
      </c>
      <c r="D81" s="67" t="s">
        <v>0</v>
      </c>
      <c r="E81" s="67" t="s">
        <v>5</v>
      </c>
      <c r="F81" s="67" t="s">
        <v>6</v>
      </c>
      <c r="G81" s="82" t="s">
        <v>53</v>
      </c>
      <c r="H81" s="70" t="str">
        <f t="shared" si="2"/>
        <v>AO A 15</v>
      </c>
      <c r="I81" s="75"/>
      <c r="J81" s="115"/>
      <c r="K81" s="115"/>
      <c r="L81" s="134"/>
      <c r="M81" s="117"/>
      <c r="N81" s="116"/>
      <c r="O81" s="118"/>
      <c r="P81" s="119" t="s">
        <v>257</v>
      </c>
      <c r="Q81" s="85"/>
      <c r="R81" s="72"/>
      <c r="S81" s="123" t="s">
        <v>7</v>
      </c>
      <c r="T81" s="125" t="s">
        <v>3</v>
      </c>
    </row>
    <row r="82" spans="1:20" ht="17.25" thickTop="1">
      <c r="A82" s="57">
        <f t="shared" si="3"/>
        <v>81</v>
      </c>
      <c r="B82" s="57" t="s">
        <v>2</v>
      </c>
      <c r="C82" s="58">
        <v>7</v>
      </c>
      <c r="D82" s="57" t="s">
        <v>0</v>
      </c>
      <c r="E82" s="57" t="s">
        <v>2</v>
      </c>
      <c r="F82" s="57" t="s">
        <v>6</v>
      </c>
      <c r="G82" s="59">
        <v>0</v>
      </c>
      <c r="H82" s="60" t="str">
        <f t="shared" si="2"/>
        <v>DI A 0</v>
      </c>
      <c r="I82" s="61"/>
      <c r="J82" s="57"/>
      <c r="K82" s="57"/>
      <c r="L82" s="35"/>
      <c r="M82" s="62"/>
      <c r="N82" s="64"/>
      <c r="O82" s="64"/>
      <c r="P82" s="64"/>
      <c r="Q82" s="65"/>
      <c r="R82" s="66"/>
      <c r="S82" s="124" t="s">
        <v>4</v>
      </c>
      <c r="T82" s="66" t="s">
        <v>3</v>
      </c>
    </row>
    <row r="83" spans="1:20">
      <c r="A83" s="5">
        <f t="shared" si="3"/>
        <v>82</v>
      </c>
      <c r="B83" s="5" t="s">
        <v>2</v>
      </c>
      <c r="C83" s="19">
        <v>7</v>
      </c>
      <c r="D83" s="5" t="s">
        <v>0</v>
      </c>
      <c r="E83" s="5" t="s">
        <v>2</v>
      </c>
      <c r="F83" s="5" t="s">
        <v>6</v>
      </c>
      <c r="G83" s="32">
        <v>1</v>
      </c>
      <c r="H83" s="22" t="str">
        <f t="shared" si="2"/>
        <v>DI A 1</v>
      </c>
      <c r="I83" s="6"/>
      <c r="J83" s="5"/>
      <c r="K83" s="5"/>
      <c r="L83" s="35"/>
      <c r="M83" s="7"/>
      <c r="N83" s="8"/>
      <c r="O83" s="8"/>
      <c r="P83" s="8"/>
      <c r="Q83" s="11"/>
      <c r="R83" s="9"/>
      <c r="S83" s="33" t="s">
        <v>4</v>
      </c>
      <c r="T83" s="9" t="s">
        <v>3</v>
      </c>
    </row>
    <row r="84" spans="1:20">
      <c r="A84" s="5">
        <f t="shared" si="3"/>
        <v>83</v>
      </c>
      <c r="B84" s="5" t="s">
        <v>2</v>
      </c>
      <c r="C84" s="19">
        <v>7</v>
      </c>
      <c r="D84" s="5" t="s">
        <v>0</v>
      </c>
      <c r="E84" s="5" t="s">
        <v>2</v>
      </c>
      <c r="F84" s="5" t="s">
        <v>6</v>
      </c>
      <c r="G84" s="32">
        <v>2</v>
      </c>
      <c r="H84" s="22" t="str">
        <f t="shared" si="2"/>
        <v>DI A 2</v>
      </c>
      <c r="I84" s="6"/>
      <c r="J84" s="5"/>
      <c r="K84" s="5"/>
      <c r="L84" s="35"/>
      <c r="M84" s="7"/>
      <c r="N84" s="8"/>
      <c r="O84" s="8"/>
      <c r="P84" s="8"/>
      <c r="Q84" s="11"/>
      <c r="R84" s="9"/>
      <c r="S84" s="33"/>
      <c r="T84" s="9"/>
    </row>
    <row r="85" spans="1:20">
      <c r="A85" s="5">
        <f t="shared" si="3"/>
        <v>84</v>
      </c>
      <c r="B85" s="5" t="s">
        <v>2</v>
      </c>
      <c r="C85" s="19">
        <v>7</v>
      </c>
      <c r="D85" s="5" t="s">
        <v>0</v>
      </c>
      <c r="E85" s="5" t="s">
        <v>2</v>
      </c>
      <c r="F85" s="5" t="s">
        <v>6</v>
      </c>
      <c r="G85" s="32">
        <v>3</v>
      </c>
      <c r="H85" s="22" t="str">
        <f t="shared" si="2"/>
        <v>DI A 3</v>
      </c>
      <c r="I85" s="6"/>
      <c r="J85" s="5"/>
      <c r="K85" s="5"/>
      <c r="L85" s="35"/>
      <c r="M85" s="7"/>
      <c r="N85" s="8"/>
      <c r="O85" s="8"/>
      <c r="P85" s="8"/>
      <c r="Q85" s="11"/>
      <c r="R85" s="9"/>
      <c r="S85" s="33"/>
      <c r="T85" s="9"/>
    </row>
    <row r="86" spans="1:20">
      <c r="A86" s="5">
        <f t="shared" si="3"/>
        <v>85</v>
      </c>
      <c r="B86" s="5" t="s">
        <v>2</v>
      </c>
      <c r="C86" s="19">
        <v>7</v>
      </c>
      <c r="D86" s="5" t="s">
        <v>0</v>
      </c>
      <c r="E86" s="5" t="s">
        <v>2</v>
      </c>
      <c r="F86" s="5" t="s">
        <v>6</v>
      </c>
      <c r="G86" s="32">
        <v>4</v>
      </c>
      <c r="H86" s="22" t="str">
        <f t="shared" si="2"/>
        <v>DI A 4</v>
      </c>
      <c r="I86" s="6"/>
      <c r="J86" s="5"/>
      <c r="K86" s="5"/>
      <c r="L86" s="74"/>
      <c r="M86" s="7"/>
      <c r="N86" s="8"/>
      <c r="O86" s="27"/>
      <c r="P86" s="8"/>
      <c r="Q86" s="11"/>
      <c r="R86" s="9"/>
      <c r="S86" s="33"/>
      <c r="T86" s="9"/>
    </row>
    <row r="87" spans="1:20">
      <c r="A87" s="5">
        <f t="shared" si="3"/>
        <v>86</v>
      </c>
      <c r="B87" s="5" t="s">
        <v>2</v>
      </c>
      <c r="C87" s="19">
        <v>7</v>
      </c>
      <c r="D87" s="5" t="s">
        <v>0</v>
      </c>
      <c r="E87" s="5" t="s">
        <v>2</v>
      </c>
      <c r="F87" s="5" t="s">
        <v>6</v>
      </c>
      <c r="G87" s="32">
        <v>5</v>
      </c>
      <c r="H87" s="22" t="str">
        <f t="shared" si="2"/>
        <v>DI A 5</v>
      </c>
      <c r="I87" s="6"/>
      <c r="J87" s="5"/>
      <c r="K87" s="5"/>
      <c r="L87" s="35"/>
      <c r="M87" s="7"/>
      <c r="N87" s="8"/>
      <c r="O87" s="27"/>
      <c r="P87" s="8"/>
      <c r="Q87" s="11"/>
      <c r="R87" s="9"/>
      <c r="S87" s="33"/>
      <c r="T87" s="9"/>
    </row>
    <row r="88" spans="1:20">
      <c r="A88" s="5">
        <f t="shared" si="3"/>
        <v>87</v>
      </c>
      <c r="B88" s="5" t="s">
        <v>2</v>
      </c>
      <c r="C88" s="19">
        <v>7</v>
      </c>
      <c r="D88" s="5" t="s">
        <v>0</v>
      </c>
      <c r="E88" s="5" t="s">
        <v>2</v>
      </c>
      <c r="F88" s="5" t="s">
        <v>6</v>
      </c>
      <c r="G88" s="32">
        <v>6</v>
      </c>
      <c r="H88" s="22" t="str">
        <f t="shared" si="2"/>
        <v>DI A 6</v>
      </c>
      <c r="I88" s="6"/>
      <c r="J88" s="5"/>
      <c r="K88" s="5"/>
      <c r="L88" s="131"/>
      <c r="M88" s="45"/>
      <c r="N88" s="8"/>
      <c r="O88" s="27"/>
      <c r="P88" s="8"/>
      <c r="Q88" s="9"/>
      <c r="R88" s="9"/>
      <c r="S88" s="33" t="s">
        <v>4</v>
      </c>
      <c r="T88" s="9" t="s">
        <v>3</v>
      </c>
    </row>
    <row r="89" spans="1:20">
      <c r="A89" s="5">
        <f t="shared" si="3"/>
        <v>88</v>
      </c>
      <c r="B89" s="5" t="s">
        <v>2</v>
      </c>
      <c r="C89" s="19">
        <v>7</v>
      </c>
      <c r="D89" s="5" t="s">
        <v>0</v>
      </c>
      <c r="E89" s="5" t="s">
        <v>2</v>
      </c>
      <c r="F89" s="5" t="s">
        <v>6</v>
      </c>
      <c r="G89" s="32">
        <v>7</v>
      </c>
      <c r="H89" s="22" t="str">
        <f t="shared" si="2"/>
        <v>DI A 7</v>
      </c>
      <c r="I89" s="6"/>
      <c r="J89" s="43"/>
      <c r="K89" s="43"/>
      <c r="L89" s="35"/>
      <c r="M89" s="45"/>
      <c r="N89" s="44"/>
      <c r="O89" s="27"/>
      <c r="P89" s="8"/>
      <c r="Q89" s="11"/>
      <c r="R89" s="9"/>
      <c r="S89" s="33" t="s">
        <v>4</v>
      </c>
      <c r="T89" s="9" t="s">
        <v>3</v>
      </c>
    </row>
    <row r="90" spans="1:20">
      <c r="A90" s="5">
        <f t="shared" si="3"/>
        <v>89</v>
      </c>
      <c r="B90" s="5" t="s">
        <v>2</v>
      </c>
      <c r="C90" s="19">
        <v>7</v>
      </c>
      <c r="D90" s="5" t="s">
        <v>0</v>
      </c>
      <c r="E90" s="5" t="s">
        <v>2</v>
      </c>
      <c r="F90" s="5" t="s">
        <v>6</v>
      </c>
      <c r="G90" s="32">
        <v>8</v>
      </c>
      <c r="H90" s="22" t="str">
        <f t="shared" si="2"/>
        <v>DI A 8</v>
      </c>
      <c r="I90" s="6"/>
      <c r="J90" s="39"/>
      <c r="K90" s="39"/>
      <c r="L90" s="34"/>
      <c r="M90" s="7"/>
      <c r="N90" s="40"/>
      <c r="O90" s="26"/>
      <c r="P90" s="8"/>
      <c r="Q90" s="11"/>
      <c r="R90" s="9"/>
      <c r="S90" s="33"/>
      <c r="T90" s="9"/>
    </row>
    <row r="91" spans="1:20">
      <c r="A91" s="5">
        <f t="shared" si="3"/>
        <v>90</v>
      </c>
      <c r="B91" s="5" t="s">
        <v>2</v>
      </c>
      <c r="C91" s="19">
        <v>7</v>
      </c>
      <c r="D91" s="5" t="s">
        <v>0</v>
      </c>
      <c r="E91" s="5" t="s">
        <v>2</v>
      </c>
      <c r="F91" s="5" t="s">
        <v>6</v>
      </c>
      <c r="G91" s="32">
        <v>9</v>
      </c>
      <c r="H91" s="22" t="str">
        <f t="shared" si="2"/>
        <v>DI A 9</v>
      </c>
      <c r="I91" s="6"/>
      <c r="J91" s="39"/>
      <c r="K91" s="39"/>
      <c r="L91" s="34"/>
      <c r="M91" s="7"/>
      <c r="N91" s="40"/>
      <c r="O91" s="26"/>
      <c r="P91" s="8"/>
      <c r="Q91" s="11"/>
      <c r="R91" s="9"/>
      <c r="S91" s="33"/>
      <c r="T91" s="9"/>
    </row>
    <row r="92" spans="1:20">
      <c r="A92" s="5">
        <f t="shared" si="3"/>
        <v>91</v>
      </c>
      <c r="B92" s="5" t="s">
        <v>2</v>
      </c>
      <c r="C92" s="19">
        <v>7</v>
      </c>
      <c r="D92" s="5" t="s">
        <v>0</v>
      </c>
      <c r="E92" s="5" t="s">
        <v>2</v>
      </c>
      <c r="F92" s="5" t="s">
        <v>6</v>
      </c>
      <c r="G92" s="32">
        <v>10</v>
      </c>
      <c r="H92" s="22" t="str">
        <f t="shared" si="2"/>
        <v>DI A 10</v>
      </c>
      <c r="I92" s="6"/>
      <c r="J92" s="39"/>
      <c r="K92" s="39"/>
      <c r="L92" s="34"/>
      <c r="M92" s="7"/>
      <c r="N92" s="40"/>
      <c r="O92" s="27"/>
      <c r="P92" s="8"/>
      <c r="Q92" s="11"/>
      <c r="R92" s="9"/>
      <c r="S92" s="33"/>
      <c r="T92" s="9"/>
    </row>
    <row r="93" spans="1:20">
      <c r="A93" s="5">
        <f t="shared" si="3"/>
        <v>92</v>
      </c>
      <c r="B93" s="5" t="s">
        <v>2</v>
      </c>
      <c r="C93" s="19">
        <v>7</v>
      </c>
      <c r="D93" s="5" t="s">
        <v>0</v>
      </c>
      <c r="E93" s="5" t="s">
        <v>2</v>
      </c>
      <c r="F93" s="5" t="s">
        <v>6</v>
      </c>
      <c r="G93" s="32">
        <v>11</v>
      </c>
      <c r="H93" s="22" t="str">
        <f t="shared" si="2"/>
        <v>DI A 11</v>
      </c>
      <c r="I93" s="6"/>
      <c r="J93" s="39"/>
      <c r="K93" s="39"/>
      <c r="L93" s="34"/>
      <c r="M93" s="7"/>
      <c r="N93" s="40"/>
      <c r="O93" s="27"/>
      <c r="P93" s="8"/>
      <c r="Q93" s="11"/>
      <c r="R93" s="9"/>
      <c r="S93" s="33"/>
      <c r="T93" s="9"/>
    </row>
    <row r="94" spans="1:20">
      <c r="A94" s="5">
        <f t="shared" si="3"/>
        <v>93</v>
      </c>
      <c r="B94" s="5" t="s">
        <v>2</v>
      </c>
      <c r="C94" s="19">
        <v>7</v>
      </c>
      <c r="D94" s="5" t="s">
        <v>0</v>
      </c>
      <c r="E94" s="5" t="s">
        <v>2</v>
      </c>
      <c r="F94" s="5" t="s">
        <v>6</v>
      </c>
      <c r="G94" s="32">
        <v>12</v>
      </c>
      <c r="H94" s="22" t="str">
        <f t="shared" si="2"/>
        <v>DI A 12</v>
      </c>
      <c r="I94" s="6"/>
      <c r="J94" s="39"/>
      <c r="K94" s="39"/>
      <c r="L94" s="34"/>
      <c r="M94" s="7"/>
      <c r="N94" s="40"/>
      <c r="O94" s="8"/>
      <c r="P94" s="8"/>
      <c r="Q94" s="11"/>
      <c r="R94" s="9"/>
      <c r="S94" s="33"/>
      <c r="T94" s="9"/>
    </row>
    <row r="95" spans="1:20">
      <c r="A95" s="5">
        <f t="shared" si="3"/>
        <v>94</v>
      </c>
      <c r="B95" s="5" t="s">
        <v>2</v>
      </c>
      <c r="C95" s="19">
        <v>7</v>
      </c>
      <c r="D95" s="5" t="s">
        <v>0</v>
      </c>
      <c r="E95" s="5" t="s">
        <v>2</v>
      </c>
      <c r="F95" s="5" t="s">
        <v>6</v>
      </c>
      <c r="G95" s="32">
        <v>13</v>
      </c>
      <c r="H95" s="22" t="str">
        <f t="shared" si="2"/>
        <v>DI A 13</v>
      </c>
      <c r="I95" s="6"/>
      <c r="J95" s="39"/>
      <c r="K95" s="39"/>
      <c r="L95" s="34"/>
      <c r="M95" s="7"/>
      <c r="N95" s="40"/>
      <c r="O95" s="8"/>
      <c r="P95" s="8"/>
      <c r="Q95" s="11"/>
      <c r="R95" s="9"/>
      <c r="S95" s="33"/>
      <c r="T95" s="9"/>
    </row>
    <row r="96" spans="1:20">
      <c r="A96" s="5">
        <f t="shared" si="3"/>
        <v>95</v>
      </c>
      <c r="B96" s="5" t="s">
        <v>2</v>
      </c>
      <c r="C96" s="19">
        <v>7</v>
      </c>
      <c r="D96" s="5" t="s">
        <v>0</v>
      </c>
      <c r="E96" s="5" t="s">
        <v>2</v>
      </c>
      <c r="F96" s="5" t="s">
        <v>6</v>
      </c>
      <c r="G96" s="32">
        <v>14</v>
      </c>
      <c r="H96" s="22" t="str">
        <f t="shared" si="2"/>
        <v>DI A 14</v>
      </c>
      <c r="I96" s="6"/>
      <c r="J96" s="39"/>
      <c r="K96" s="39"/>
      <c r="L96" s="36"/>
      <c r="M96" s="7"/>
      <c r="N96" s="40"/>
      <c r="O96" s="8"/>
      <c r="P96" s="8"/>
      <c r="Q96" s="11"/>
      <c r="R96" s="9"/>
      <c r="S96" s="33"/>
      <c r="T96" s="9"/>
    </row>
    <row r="97" spans="1:20">
      <c r="A97" s="5">
        <f t="shared" si="3"/>
        <v>96</v>
      </c>
      <c r="B97" s="5" t="s">
        <v>2</v>
      </c>
      <c r="C97" s="19">
        <v>7</v>
      </c>
      <c r="D97" s="5" t="s">
        <v>0</v>
      </c>
      <c r="E97" s="5" t="s">
        <v>2</v>
      </c>
      <c r="F97" s="5" t="s">
        <v>6</v>
      </c>
      <c r="G97" s="32">
        <v>15</v>
      </c>
      <c r="H97" s="22" t="str">
        <f t="shared" si="2"/>
        <v>DI A 15</v>
      </c>
      <c r="I97" s="6"/>
      <c r="J97" s="37"/>
      <c r="K97" s="37"/>
      <c r="L97" s="36"/>
      <c r="M97" s="7"/>
      <c r="N97" s="26"/>
      <c r="O97" s="8"/>
      <c r="P97" s="8"/>
      <c r="Q97" s="11"/>
      <c r="R97" s="9"/>
      <c r="S97" s="33" t="s">
        <v>4</v>
      </c>
      <c r="T97" s="9" t="s">
        <v>3</v>
      </c>
    </row>
    <row r="98" spans="1:20">
      <c r="A98" s="5">
        <f t="shared" si="3"/>
        <v>97</v>
      </c>
      <c r="B98" s="5" t="s">
        <v>2</v>
      </c>
      <c r="C98" s="19">
        <v>7</v>
      </c>
      <c r="D98" s="5" t="s">
        <v>0</v>
      </c>
      <c r="E98" s="5" t="s">
        <v>35</v>
      </c>
      <c r="F98" s="5" t="s">
        <v>6</v>
      </c>
      <c r="G98" s="32">
        <v>0</v>
      </c>
      <c r="H98" s="22" t="str">
        <f t="shared" si="2"/>
        <v>Counter A 0</v>
      </c>
      <c r="I98" s="6"/>
      <c r="J98" s="5"/>
      <c r="K98" s="5"/>
      <c r="L98" s="34"/>
      <c r="M98" s="7"/>
      <c r="N98" s="38"/>
      <c r="O98" s="8"/>
      <c r="P98" s="8"/>
      <c r="Q98" s="28"/>
      <c r="R98" s="9"/>
      <c r="S98" s="5"/>
      <c r="T98" s="9"/>
    </row>
    <row r="99" spans="1:20">
      <c r="A99" s="5">
        <f t="shared" si="3"/>
        <v>98</v>
      </c>
      <c r="B99" s="5" t="s">
        <v>2</v>
      </c>
      <c r="C99" s="19">
        <v>7</v>
      </c>
      <c r="D99" s="5" t="s">
        <v>0</v>
      </c>
      <c r="E99" s="5" t="s">
        <v>35</v>
      </c>
      <c r="F99" s="5" t="s">
        <v>6</v>
      </c>
      <c r="G99" s="32">
        <v>1</v>
      </c>
      <c r="H99" s="22" t="str">
        <f t="shared" si="2"/>
        <v>Counter A 1</v>
      </c>
      <c r="I99" s="6"/>
      <c r="J99" s="5"/>
      <c r="K99" s="5"/>
      <c r="L99" s="34"/>
      <c r="M99" s="7"/>
      <c r="N99" s="38"/>
      <c r="O99" s="8"/>
      <c r="P99" s="8"/>
      <c r="Q99" s="28"/>
      <c r="R99" s="9"/>
      <c r="S99" s="5"/>
      <c r="T99" s="9"/>
    </row>
    <row r="100" spans="1:20">
      <c r="A100" s="5">
        <f t="shared" si="3"/>
        <v>99</v>
      </c>
      <c r="B100" s="5" t="s">
        <v>2</v>
      </c>
      <c r="C100" s="19">
        <v>7</v>
      </c>
      <c r="D100" s="5" t="s">
        <v>0</v>
      </c>
      <c r="E100" s="5" t="s">
        <v>35</v>
      </c>
      <c r="F100" s="5" t="s">
        <v>6</v>
      </c>
      <c r="G100" s="32">
        <v>2</v>
      </c>
      <c r="H100" s="22" t="str">
        <f t="shared" si="2"/>
        <v>Counter A 2</v>
      </c>
      <c r="I100" s="6"/>
      <c r="J100" s="5"/>
      <c r="K100" s="5"/>
      <c r="L100" s="34"/>
      <c r="M100" s="7"/>
      <c r="N100" s="38"/>
      <c r="O100" s="8"/>
      <c r="P100" s="9"/>
      <c r="Q100" s="11" t="s">
        <v>260</v>
      </c>
      <c r="R100" s="9" t="s">
        <v>68</v>
      </c>
      <c r="S100" s="5">
        <v>18.600000000000001</v>
      </c>
      <c r="T100" s="9" t="s">
        <v>70</v>
      </c>
    </row>
    <row r="101" spans="1:20">
      <c r="A101" s="5">
        <f t="shared" si="3"/>
        <v>100</v>
      </c>
      <c r="B101" s="5" t="s">
        <v>2</v>
      </c>
      <c r="C101" s="19">
        <v>7</v>
      </c>
      <c r="D101" s="5" t="s">
        <v>0</v>
      </c>
      <c r="E101" s="5" t="s">
        <v>35</v>
      </c>
      <c r="F101" s="5" t="s">
        <v>6</v>
      </c>
      <c r="G101" s="32">
        <v>3</v>
      </c>
      <c r="H101" s="22" t="str">
        <f t="shared" si="2"/>
        <v>Counter A 3</v>
      </c>
      <c r="I101" s="6"/>
      <c r="J101" s="5"/>
      <c r="K101" s="5"/>
      <c r="L101" s="34"/>
      <c r="M101" s="7"/>
      <c r="N101" s="38"/>
      <c r="O101" s="8"/>
      <c r="P101" s="8"/>
      <c r="Q101" s="11" t="s">
        <v>260</v>
      </c>
      <c r="R101" s="9" t="s">
        <v>68</v>
      </c>
      <c r="S101" s="5">
        <v>18.600000000000001</v>
      </c>
      <c r="T101" s="9" t="s">
        <v>70</v>
      </c>
    </row>
    <row r="102" spans="1:20">
      <c r="A102" s="5">
        <f t="shared" si="3"/>
        <v>101</v>
      </c>
      <c r="B102" s="5" t="s">
        <v>2</v>
      </c>
      <c r="C102" s="19">
        <v>7</v>
      </c>
      <c r="D102" s="5" t="s">
        <v>0</v>
      </c>
      <c r="E102" s="5" t="s">
        <v>35</v>
      </c>
      <c r="F102" s="5" t="s">
        <v>6</v>
      </c>
      <c r="G102" s="32">
        <v>4</v>
      </c>
      <c r="H102" s="22" t="str">
        <f t="shared" si="2"/>
        <v>Counter A 4</v>
      </c>
      <c r="I102" s="6"/>
      <c r="J102" s="5"/>
      <c r="K102" s="5"/>
      <c r="L102" s="34"/>
      <c r="M102" s="7"/>
      <c r="N102" s="38"/>
      <c r="O102" s="8"/>
      <c r="P102" s="8"/>
      <c r="Q102" s="11" t="s">
        <v>260</v>
      </c>
      <c r="R102" s="9" t="s">
        <v>68</v>
      </c>
      <c r="S102" s="5">
        <v>18.600000000000001</v>
      </c>
      <c r="T102" s="9" t="s">
        <v>70</v>
      </c>
    </row>
    <row r="103" spans="1:20" s="73" customFormat="1" ht="17.25" thickBot="1">
      <c r="A103" s="67">
        <f t="shared" si="3"/>
        <v>102</v>
      </c>
      <c r="B103" s="67" t="s">
        <v>2</v>
      </c>
      <c r="C103" s="68">
        <v>7</v>
      </c>
      <c r="D103" s="67" t="s">
        <v>0</v>
      </c>
      <c r="E103" s="67" t="s">
        <v>35</v>
      </c>
      <c r="F103" s="67" t="s">
        <v>6</v>
      </c>
      <c r="G103" s="69">
        <v>5</v>
      </c>
      <c r="H103" s="70" t="str">
        <f t="shared" si="2"/>
        <v>Counter A 5</v>
      </c>
      <c r="I103" s="75"/>
      <c r="J103" s="67"/>
      <c r="K103" s="67"/>
      <c r="L103" s="76"/>
      <c r="M103" s="77"/>
      <c r="N103" s="88"/>
      <c r="O103" s="71"/>
      <c r="P103" s="72"/>
      <c r="Q103" s="181" t="s">
        <v>260</v>
      </c>
      <c r="R103" s="92" t="s">
        <v>68</v>
      </c>
      <c r="S103" s="67">
        <v>18.600000000000001</v>
      </c>
      <c r="T103" s="72" t="s">
        <v>70</v>
      </c>
    </row>
    <row r="104" spans="1:20" ht="17.25" thickTop="1">
      <c r="A104" s="57">
        <f t="shared" si="3"/>
        <v>103</v>
      </c>
      <c r="B104" s="57" t="s">
        <v>1</v>
      </c>
      <c r="C104" s="58">
        <v>8</v>
      </c>
      <c r="D104" s="57" t="s">
        <v>0</v>
      </c>
      <c r="E104" s="57" t="s">
        <v>1</v>
      </c>
      <c r="F104" s="57" t="s">
        <v>6</v>
      </c>
      <c r="G104" s="79">
        <v>0</v>
      </c>
      <c r="H104" s="60" t="str">
        <f t="shared" si="2"/>
        <v>DO A 0</v>
      </c>
      <c r="I104" s="61"/>
      <c r="J104" s="107"/>
      <c r="K104" s="107"/>
      <c r="L104" s="108"/>
      <c r="M104" s="87"/>
      <c r="N104" s="80"/>
      <c r="O104" s="64"/>
      <c r="P104" s="64"/>
      <c r="Q104" s="182"/>
      <c r="R104" s="183"/>
      <c r="S104" s="84" t="s">
        <v>4</v>
      </c>
      <c r="T104" s="66" t="s">
        <v>3</v>
      </c>
    </row>
    <row r="105" spans="1:20">
      <c r="A105" s="5">
        <f t="shared" si="3"/>
        <v>104</v>
      </c>
      <c r="B105" s="5" t="s">
        <v>1</v>
      </c>
      <c r="C105" s="19">
        <v>8</v>
      </c>
      <c r="D105" s="5" t="s">
        <v>0</v>
      </c>
      <c r="E105" s="5" t="s">
        <v>1</v>
      </c>
      <c r="F105" s="5" t="s">
        <v>6</v>
      </c>
      <c r="G105" s="16">
        <v>1</v>
      </c>
      <c r="H105" s="22" t="str">
        <f t="shared" si="2"/>
        <v>DO A 1</v>
      </c>
      <c r="I105" s="6"/>
      <c r="J105" s="109"/>
      <c r="K105" s="109"/>
      <c r="L105" s="110"/>
      <c r="M105" s="14"/>
      <c r="N105" s="38"/>
      <c r="O105" s="8"/>
      <c r="P105" s="8"/>
      <c r="Q105" s="11"/>
      <c r="R105" s="9"/>
      <c r="S105" s="33" t="s">
        <v>4</v>
      </c>
      <c r="T105" s="9" t="s">
        <v>3</v>
      </c>
    </row>
    <row r="106" spans="1:20">
      <c r="A106" s="5">
        <f t="shared" si="3"/>
        <v>105</v>
      </c>
      <c r="B106" s="5" t="s">
        <v>1</v>
      </c>
      <c r="C106" s="19">
        <v>8</v>
      </c>
      <c r="D106" s="5" t="s">
        <v>0</v>
      </c>
      <c r="E106" s="5" t="s">
        <v>1</v>
      </c>
      <c r="F106" s="5" t="s">
        <v>6</v>
      </c>
      <c r="G106" s="16">
        <v>2</v>
      </c>
      <c r="H106" s="22" t="str">
        <f t="shared" si="2"/>
        <v>DO A 2</v>
      </c>
      <c r="I106" s="6"/>
      <c r="J106" s="109"/>
      <c r="K106" s="109"/>
      <c r="L106" s="110"/>
      <c r="M106" s="14"/>
      <c r="N106" s="38"/>
      <c r="O106" s="8"/>
      <c r="P106" s="8"/>
      <c r="Q106" s="11"/>
      <c r="R106" s="9"/>
      <c r="S106" s="33" t="s">
        <v>4</v>
      </c>
      <c r="T106" s="9" t="s">
        <v>3</v>
      </c>
    </row>
    <row r="107" spans="1:20">
      <c r="A107" s="5">
        <f t="shared" si="3"/>
        <v>106</v>
      </c>
      <c r="B107" s="5" t="s">
        <v>1</v>
      </c>
      <c r="C107" s="19">
        <v>8</v>
      </c>
      <c r="D107" s="5" t="s">
        <v>0</v>
      </c>
      <c r="E107" s="5" t="s">
        <v>1</v>
      </c>
      <c r="F107" s="5" t="s">
        <v>6</v>
      </c>
      <c r="G107" s="16">
        <v>3</v>
      </c>
      <c r="H107" s="22" t="str">
        <f t="shared" si="2"/>
        <v>DO A 3</v>
      </c>
      <c r="I107" s="6"/>
      <c r="J107" s="109"/>
      <c r="K107" s="109"/>
      <c r="L107" s="110"/>
      <c r="M107" s="14"/>
      <c r="N107" s="38"/>
      <c r="O107" s="8"/>
      <c r="P107" s="8"/>
      <c r="Q107" s="11"/>
      <c r="R107" s="9"/>
      <c r="S107" s="33" t="s">
        <v>4</v>
      </c>
      <c r="T107" s="9" t="s">
        <v>3</v>
      </c>
    </row>
    <row r="108" spans="1:20">
      <c r="A108" s="5">
        <f t="shared" si="3"/>
        <v>107</v>
      </c>
      <c r="B108" s="5" t="s">
        <v>1</v>
      </c>
      <c r="C108" s="19">
        <v>8</v>
      </c>
      <c r="D108" s="5" t="s">
        <v>0</v>
      </c>
      <c r="E108" s="5" t="s">
        <v>1</v>
      </c>
      <c r="F108" s="5" t="s">
        <v>6</v>
      </c>
      <c r="G108" s="16">
        <v>4</v>
      </c>
      <c r="H108" s="22" t="str">
        <f t="shared" si="2"/>
        <v>DO A 4</v>
      </c>
      <c r="I108" s="6"/>
      <c r="J108" s="109"/>
      <c r="K108" s="109"/>
      <c r="L108" s="110"/>
      <c r="M108" s="14"/>
      <c r="N108" s="38"/>
      <c r="O108" s="8"/>
      <c r="P108" s="8"/>
      <c r="Q108" s="11"/>
      <c r="R108" s="9"/>
      <c r="S108" s="33" t="s">
        <v>4</v>
      </c>
      <c r="T108" s="9" t="s">
        <v>3</v>
      </c>
    </row>
    <row r="109" spans="1:20">
      <c r="A109" s="5">
        <f t="shared" si="3"/>
        <v>108</v>
      </c>
      <c r="B109" s="5" t="s">
        <v>1</v>
      </c>
      <c r="C109" s="19">
        <v>8</v>
      </c>
      <c r="D109" s="5" t="s">
        <v>0</v>
      </c>
      <c r="E109" s="5" t="s">
        <v>1</v>
      </c>
      <c r="F109" s="5" t="s">
        <v>6</v>
      </c>
      <c r="G109" s="16">
        <v>5</v>
      </c>
      <c r="H109" s="22" t="str">
        <f t="shared" si="2"/>
        <v>DO A 5</v>
      </c>
      <c r="I109" s="6"/>
      <c r="J109" s="109"/>
      <c r="K109" s="109"/>
      <c r="L109" s="110"/>
      <c r="M109" s="14"/>
      <c r="N109" s="38"/>
      <c r="O109" s="8"/>
      <c r="P109" s="8"/>
      <c r="Q109" s="11"/>
      <c r="R109" s="9"/>
      <c r="S109" s="33" t="s">
        <v>4</v>
      </c>
      <c r="T109" s="9" t="s">
        <v>3</v>
      </c>
    </row>
    <row r="110" spans="1:20">
      <c r="A110" s="5">
        <f t="shared" si="3"/>
        <v>109</v>
      </c>
      <c r="B110" s="5" t="s">
        <v>1</v>
      </c>
      <c r="C110" s="19">
        <v>8</v>
      </c>
      <c r="D110" s="5" t="s">
        <v>0</v>
      </c>
      <c r="E110" s="5" t="s">
        <v>1</v>
      </c>
      <c r="F110" s="5" t="s">
        <v>6</v>
      </c>
      <c r="G110" s="16">
        <v>6</v>
      </c>
      <c r="H110" s="22" t="str">
        <f t="shared" si="2"/>
        <v>DO A 6</v>
      </c>
      <c r="I110" s="6"/>
      <c r="J110" s="109"/>
      <c r="K110" s="109"/>
      <c r="L110" s="110"/>
      <c r="M110" s="14"/>
      <c r="N110" s="38"/>
      <c r="O110" s="8"/>
      <c r="P110" s="8"/>
      <c r="Q110" s="11"/>
      <c r="R110" s="9"/>
      <c r="S110" s="33" t="s">
        <v>4</v>
      </c>
      <c r="T110" s="9" t="s">
        <v>3</v>
      </c>
    </row>
    <row r="111" spans="1:20">
      <c r="A111" s="5">
        <f t="shared" si="3"/>
        <v>110</v>
      </c>
      <c r="B111" s="5" t="s">
        <v>1</v>
      </c>
      <c r="C111" s="19">
        <v>8</v>
      </c>
      <c r="D111" s="5" t="s">
        <v>0</v>
      </c>
      <c r="E111" s="5" t="s">
        <v>1</v>
      </c>
      <c r="F111" s="5" t="s">
        <v>6</v>
      </c>
      <c r="G111" s="16">
        <v>7</v>
      </c>
      <c r="H111" s="22" t="str">
        <f t="shared" si="2"/>
        <v>DO A 7</v>
      </c>
      <c r="I111" s="6"/>
      <c r="J111" s="109"/>
      <c r="K111" s="109"/>
      <c r="L111" s="110"/>
      <c r="M111" s="14"/>
      <c r="N111" s="38"/>
      <c r="O111" s="8"/>
      <c r="P111" s="8"/>
      <c r="Q111" s="11"/>
      <c r="R111" s="9"/>
      <c r="S111" s="33" t="s">
        <v>4</v>
      </c>
      <c r="T111" s="9" t="s">
        <v>3</v>
      </c>
    </row>
    <row r="112" spans="1:20">
      <c r="A112" s="5">
        <f t="shared" si="3"/>
        <v>111</v>
      </c>
      <c r="B112" s="5" t="s">
        <v>1</v>
      </c>
      <c r="C112" s="19">
        <v>8</v>
      </c>
      <c r="D112" s="5" t="s">
        <v>0</v>
      </c>
      <c r="E112" s="5" t="s">
        <v>1</v>
      </c>
      <c r="F112" s="5" t="s">
        <v>6</v>
      </c>
      <c r="G112" s="16">
        <v>8</v>
      </c>
      <c r="H112" s="22" t="str">
        <f t="shared" si="2"/>
        <v>DO A 8</v>
      </c>
      <c r="I112" s="6"/>
      <c r="J112" s="109"/>
      <c r="K112" s="109"/>
      <c r="L112" s="109"/>
      <c r="M112" s="14"/>
      <c r="N112" s="8"/>
      <c r="O112" s="8"/>
      <c r="P112" s="8"/>
      <c r="Q112" s="11"/>
      <c r="R112" s="9"/>
      <c r="S112" s="33" t="s">
        <v>4</v>
      </c>
      <c r="T112" s="9" t="s">
        <v>3</v>
      </c>
    </row>
    <row r="113" spans="1:20">
      <c r="A113" s="5">
        <f t="shared" si="3"/>
        <v>112</v>
      </c>
      <c r="B113" s="5" t="s">
        <v>1</v>
      </c>
      <c r="C113" s="19">
        <v>8</v>
      </c>
      <c r="D113" s="5" t="s">
        <v>0</v>
      </c>
      <c r="E113" s="5" t="s">
        <v>1</v>
      </c>
      <c r="F113" s="5" t="s">
        <v>6</v>
      </c>
      <c r="G113" s="16">
        <v>9</v>
      </c>
      <c r="H113" s="22" t="str">
        <f t="shared" si="2"/>
        <v>DO A 9</v>
      </c>
      <c r="I113" s="6"/>
      <c r="J113" s="109"/>
      <c r="K113" s="109"/>
      <c r="L113" s="109"/>
      <c r="M113" s="14"/>
      <c r="N113" s="8"/>
      <c r="O113" s="8"/>
      <c r="P113" s="8"/>
      <c r="Q113" s="11"/>
      <c r="R113" s="9"/>
      <c r="S113" s="33" t="s">
        <v>4</v>
      </c>
      <c r="T113" s="9" t="s">
        <v>3</v>
      </c>
    </row>
    <row r="114" spans="1:20">
      <c r="A114" s="5">
        <f t="shared" si="3"/>
        <v>113</v>
      </c>
      <c r="B114" s="5" t="s">
        <v>1</v>
      </c>
      <c r="C114" s="19">
        <v>8</v>
      </c>
      <c r="D114" s="5" t="s">
        <v>0</v>
      </c>
      <c r="E114" s="5" t="s">
        <v>1</v>
      </c>
      <c r="F114" s="5" t="s">
        <v>6</v>
      </c>
      <c r="G114" s="16">
        <v>10</v>
      </c>
      <c r="H114" s="22" t="str">
        <f t="shared" si="2"/>
        <v>DO A 10</v>
      </c>
      <c r="I114" s="6"/>
      <c r="J114" s="109"/>
      <c r="K114" s="110"/>
      <c r="L114" s="109"/>
      <c r="M114" s="14"/>
      <c r="N114" s="41"/>
      <c r="O114" s="8"/>
      <c r="P114" s="8"/>
      <c r="Q114" s="11"/>
      <c r="R114" s="9"/>
      <c r="S114" s="33" t="s">
        <v>4</v>
      </c>
      <c r="T114" s="9" t="s">
        <v>3</v>
      </c>
    </row>
    <row r="115" spans="1:20">
      <c r="A115" s="5">
        <f t="shared" si="3"/>
        <v>114</v>
      </c>
      <c r="B115" s="5" t="s">
        <v>1</v>
      </c>
      <c r="C115" s="19">
        <v>8</v>
      </c>
      <c r="D115" s="5" t="s">
        <v>0</v>
      </c>
      <c r="E115" s="5" t="s">
        <v>1</v>
      </c>
      <c r="F115" s="5" t="s">
        <v>6</v>
      </c>
      <c r="G115" s="16">
        <v>11</v>
      </c>
      <c r="H115" s="22" t="str">
        <f t="shared" si="2"/>
        <v>DO A 11</v>
      </c>
      <c r="I115" s="6"/>
      <c r="J115" s="109"/>
      <c r="K115" s="109"/>
      <c r="L115" s="109"/>
      <c r="M115" s="14"/>
      <c r="N115" s="26"/>
      <c r="O115" s="8"/>
      <c r="P115" s="8"/>
      <c r="Q115" s="11"/>
      <c r="R115" s="9"/>
      <c r="S115" s="33"/>
      <c r="T115" s="9"/>
    </row>
    <row r="116" spans="1:20">
      <c r="A116" s="5">
        <f t="shared" si="3"/>
        <v>115</v>
      </c>
      <c r="B116" s="5" t="s">
        <v>1</v>
      </c>
      <c r="C116" s="19">
        <v>8</v>
      </c>
      <c r="D116" s="5" t="s">
        <v>0</v>
      </c>
      <c r="E116" s="5" t="s">
        <v>1</v>
      </c>
      <c r="F116" s="5" t="s">
        <v>6</v>
      </c>
      <c r="G116" s="16">
        <v>12</v>
      </c>
      <c r="H116" s="22" t="str">
        <f t="shared" si="2"/>
        <v>DO A 12</v>
      </c>
      <c r="I116" s="6"/>
      <c r="J116" s="109"/>
      <c r="K116" s="109"/>
      <c r="L116" s="109"/>
      <c r="M116" s="14"/>
      <c r="N116" s="44"/>
      <c r="O116" s="44"/>
      <c r="P116" s="44"/>
      <c r="Q116" s="46"/>
      <c r="R116" s="47"/>
      <c r="S116" s="33"/>
      <c r="T116" s="9"/>
    </row>
    <row r="117" spans="1:20">
      <c r="A117" s="5">
        <f t="shared" si="3"/>
        <v>116</v>
      </c>
      <c r="B117" s="5" t="s">
        <v>1</v>
      </c>
      <c r="C117" s="19">
        <v>8</v>
      </c>
      <c r="D117" s="5" t="s">
        <v>0</v>
      </c>
      <c r="E117" s="5" t="s">
        <v>1</v>
      </c>
      <c r="F117" s="5" t="s">
        <v>6</v>
      </c>
      <c r="G117" s="16">
        <v>13</v>
      </c>
      <c r="H117" s="22" t="str">
        <f t="shared" si="2"/>
        <v>DO A 13</v>
      </c>
      <c r="I117" s="6"/>
      <c r="J117" s="109"/>
      <c r="K117" s="109"/>
      <c r="L117" s="109"/>
      <c r="M117" s="14"/>
      <c r="N117" s="38"/>
      <c r="O117" s="8"/>
      <c r="P117" s="8"/>
      <c r="Q117" s="11"/>
      <c r="R117" s="9"/>
      <c r="S117" s="33"/>
      <c r="T117" s="9"/>
    </row>
    <row r="118" spans="1:20" ht="16.5" customHeight="1">
      <c r="A118" s="5">
        <f t="shared" si="3"/>
        <v>117</v>
      </c>
      <c r="B118" s="5" t="s">
        <v>1</v>
      </c>
      <c r="C118" s="19">
        <v>8</v>
      </c>
      <c r="D118" s="5" t="s">
        <v>0</v>
      </c>
      <c r="E118" s="5" t="s">
        <v>1</v>
      </c>
      <c r="F118" s="5" t="s">
        <v>6</v>
      </c>
      <c r="G118" s="16">
        <v>14</v>
      </c>
      <c r="H118" s="22" t="str">
        <f t="shared" si="2"/>
        <v>DO A 14</v>
      </c>
      <c r="I118" s="6"/>
      <c r="J118" s="109"/>
      <c r="K118" s="109"/>
      <c r="L118" s="109"/>
      <c r="M118" s="14"/>
      <c r="N118" s="38"/>
      <c r="O118" s="8"/>
      <c r="P118" s="8"/>
      <c r="Q118" s="11"/>
      <c r="R118" s="9"/>
      <c r="S118" s="33" t="s">
        <v>19</v>
      </c>
      <c r="T118" s="9" t="s">
        <v>3</v>
      </c>
    </row>
    <row r="119" spans="1:20">
      <c r="A119" s="5">
        <f t="shared" si="3"/>
        <v>118</v>
      </c>
      <c r="B119" s="5" t="s">
        <v>1</v>
      </c>
      <c r="C119" s="19">
        <v>8</v>
      </c>
      <c r="D119" s="5" t="s">
        <v>0</v>
      </c>
      <c r="E119" s="5" t="s">
        <v>1</v>
      </c>
      <c r="F119" s="5" t="s">
        <v>6</v>
      </c>
      <c r="G119" s="16">
        <v>15</v>
      </c>
      <c r="H119" s="22" t="str">
        <f t="shared" si="2"/>
        <v>DO A 15</v>
      </c>
      <c r="I119" s="6"/>
      <c r="J119" s="109"/>
      <c r="K119" s="109"/>
      <c r="L119" s="109"/>
      <c r="M119" s="14"/>
      <c r="N119" s="38"/>
      <c r="O119" s="8"/>
      <c r="P119" s="8"/>
      <c r="Q119" s="11"/>
      <c r="R119" s="9"/>
      <c r="S119" s="33" t="s">
        <v>19</v>
      </c>
      <c r="T119" s="9" t="s">
        <v>3</v>
      </c>
    </row>
    <row r="120" spans="1:20" ht="17.25" customHeight="1">
      <c r="A120" s="5">
        <f t="shared" si="3"/>
        <v>119</v>
      </c>
      <c r="B120" s="5" t="s">
        <v>1</v>
      </c>
      <c r="C120" s="19">
        <v>8</v>
      </c>
      <c r="D120" s="5" t="s">
        <v>0</v>
      </c>
      <c r="E120" s="5" t="s">
        <v>1</v>
      </c>
      <c r="F120" s="5" t="s">
        <v>6</v>
      </c>
      <c r="G120" s="16">
        <v>16</v>
      </c>
      <c r="H120" s="22" t="str">
        <f t="shared" si="2"/>
        <v>DO A 16</v>
      </c>
      <c r="I120" s="6"/>
      <c r="J120" s="112"/>
      <c r="K120" s="112"/>
      <c r="L120" s="112"/>
      <c r="M120" s="14"/>
      <c r="N120" s="38"/>
      <c r="O120" s="8"/>
      <c r="P120" s="8"/>
      <c r="Q120" s="11"/>
      <c r="R120" s="9"/>
      <c r="S120" s="33" t="s">
        <v>19</v>
      </c>
      <c r="T120" s="9" t="s">
        <v>3</v>
      </c>
    </row>
    <row r="121" spans="1:20" ht="17.25" customHeight="1">
      <c r="A121" s="5">
        <f t="shared" si="3"/>
        <v>120</v>
      </c>
      <c r="B121" s="5" t="s">
        <v>1</v>
      </c>
      <c r="C121" s="19">
        <v>8</v>
      </c>
      <c r="D121" s="5" t="s">
        <v>0</v>
      </c>
      <c r="E121" s="5" t="s">
        <v>1</v>
      </c>
      <c r="F121" s="5" t="s">
        <v>6</v>
      </c>
      <c r="G121" s="16">
        <v>17</v>
      </c>
      <c r="H121" s="22" t="str">
        <f t="shared" si="2"/>
        <v>DO A 17</v>
      </c>
      <c r="I121" s="6"/>
      <c r="J121" s="112"/>
      <c r="K121" s="112"/>
      <c r="L121" s="112"/>
      <c r="M121" s="14"/>
      <c r="N121" s="8"/>
      <c r="O121" s="8"/>
      <c r="P121" s="8"/>
      <c r="Q121" s="11"/>
      <c r="R121" s="9"/>
      <c r="S121" s="33" t="s">
        <v>4</v>
      </c>
      <c r="T121" s="9" t="s">
        <v>3</v>
      </c>
    </row>
    <row r="122" spans="1:20" ht="17.25" customHeight="1">
      <c r="A122" s="5">
        <f t="shared" si="3"/>
        <v>121</v>
      </c>
      <c r="B122" s="5" t="s">
        <v>1</v>
      </c>
      <c r="C122" s="19">
        <v>8</v>
      </c>
      <c r="D122" s="5" t="s">
        <v>0</v>
      </c>
      <c r="E122" s="5" t="s">
        <v>1</v>
      </c>
      <c r="F122" s="5" t="s">
        <v>6</v>
      </c>
      <c r="G122" s="16">
        <v>18</v>
      </c>
      <c r="H122" s="22" t="str">
        <f t="shared" si="2"/>
        <v>DO A 18</v>
      </c>
      <c r="I122" s="6"/>
      <c r="J122" s="112"/>
      <c r="K122" s="112"/>
      <c r="L122" s="112"/>
      <c r="M122" s="14"/>
      <c r="N122" s="26"/>
      <c r="O122" s="8"/>
      <c r="P122" s="8"/>
      <c r="Q122" s="11"/>
      <c r="R122" s="9"/>
      <c r="S122" s="33" t="s">
        <v>4</v>
      </c>
      <c r="T122" s="9" t="s">
        <v>3</v>
      </c>
    </row>
    <row r="123" spans="1:20" ht="17.25" customHeight="1">
      <c r="A123" s="5">
        <f t="shared" si="3"/>
        <v>122</v>
      </c>
      <c r="B123" s="5" t="s">
        <v>1</v>
      </c>
      <c r="C123" s="19">
        <v>8</v>
      </c>
      <c r="D123" s="5" t="s">
        <v>0</v>
      </c>
      <c r="E123" s="5" t="s">
        <v>1</v>
      </c>
      <c r="F123" s="5" t="s">
        <v>6</v>
      </c>
      <c r="G123" s="16">
        <v>19</v>
      </c>
      <c r="H123" s="22" t="str">
        <f t="shared" si="2"/>
        <v>DO A 19</v>
      </c>
      <c r="I123" s="6"/>
      <c r="J123" s="112"/>
      <c r="K123" s="112"/>
      <c r="L123" s="112"/>
      <c r="M123" s="14"/>
      <c r="N123" s="26"/>
      <c r="O123" s="8"/>
      <c r="P123" s="8"/>
      <c r="Q123" s="11"/>
      <c r="R123" s="9"/>
      <c r="S123" s="33" t="s">
        <v>4</v>
      </c>
      <c r="T123" s="9" t="s">
        <v>3</v>
      </c>
    </row>
    <row r="124" spans="1:20" ht="17.25" customHeight="1">
      <c r="A124" s="5">
        <f t="shared" si="3"/>
        <v>123</v>
      </c>
      <c r="B124" s="5" t="s">
        <v>1</v>
      </c>
      <c r="C124" s="19">
        <v>8</v>
      </c>
      <c r="D124" s="5" t="s">
        <v>0</v>
      </c>
      <c r="E124" s="5" t="s">
        <v>1</v>
      </c>
      <c r="F124" s="5" t="s">
        <v>6</v>
      </c>
      <c r="G124" s="16">
        <v>20</v>
      </c>
      <c r="H124" s="22" t="str">
        <f t="shared" si="2"/>
        <v>DO A 20</v>
      </c>
      <c r="I124" s="6"/>
      <c r="J124" s="112"/>
      <c r="K124" s="112"/>
      <c r="L124" s="112"/>
      <c r="M124" s="14"/>
      <c r="N124" s="8"/>
      <c r="O124" s="8"/>
      <c r="P124" s="8"/>
      <c r="Q124" s="11"/>
      <c r="R124" s="9"/>
      <c r="S124" s="33" t="s">
        <v>4</v>
      </c>
      <c r="T124" s="9" t="s">
        <v>3</v>
      </c>
    </row>
    <row r="125" spans="1:20">
      <c r="A125" s="5">
        <f t="shared" si="3"/>
        <v>124</v>
      </c>
      <c r="B125" s="5" t="s">
        <v>1</v>
      </c>
      <c r="C125" s="19">
        <v>8</v>
      </c>
      <c r="D125" s="5" t="s">
        <v>0</v>
      </c>
      <c r="E125" s="5" t="s">
        <v>1</v>
      </c>
      <c r="F125" s="5" t="s">
        <v>6</v>
      </c>
      <c r="G125" s="16">
        <v>21</v>
      </c>
      <c r="H125" s="22" t="str">
        <f t="shared" si="2"/>
        <v>DO A 21</v>
      </c>
      <c r="I125" s="6"/>
      <c r="J125" s="112"/>
      <c r="K125" s="112"/>
      <c r="L125" s="112"/>
      <c r="M125" s="14"/>
      <c r="N125" s="26"/>
      <c r="O125" s="8"/>
      <c r="P125" s="8"/>
      <c r="Q125" s="11"/>
      <c r="R125" s="9"/>
      <c r="S125" s="33" t="s">
        <v>4</v>
      </c>
      <c r="T125" s="9" t="s">
        <v>3</v>
      </c>
    </row>
    <row r="126" spans="1:20">
      <c r="A126" s="5">
        <f t="shared" si="3"/>
        <v>125</v>
      </c>
      <c r="B126" s="5" t="s">
        <v>1</v>
      </c>
      <c r="C126" s="19">
        <v>8</v>
      </c>
      <c r="D126" s="5" t="s">
        <v>0</v>
      </c>
      <c r="E126" s="5" t="s">
        <v>1</v>
      </c>
      <c r="F126" s="5" t="s">
        <v>6</v>
      </c>
      <c r="G126" s="16">
        <v>22</v>
      </c>
      <c r="H126" s="22" t="str">
        <f t="shared" si="2"/>
        <v>DO A 22</v>
      </c>
      <c r="I126" s="6"/>
      <c r="J126" s="112"/>
      <c r="K126" s="112"/>
      <c r="L126" s="112"/>
      <c r="M126" s="14"/>
      <c r="N126" s="38"/>
      <c r="O126" s="8"/>
      <c r="P126" s="8"/>
      <c r="Q126" s="11"/>
      <c r="R126" s="9"/>
      <c r="S126" s="33" t="s">
        <v>4</v>
      </c>
      <c r="T126" s="9" t="s">
        <v>3</v>
      </c>
    </row>
    <row r="127" spans="1:20">
      <c r="A127" s="5">
        <f t="shared" si="3"/>
        <v>126</v>
      </c>
      <c r="B127" s="5" t="s">
        <v>1</v>
      </c>
      <c r="C127" s="19">
        <v>8</v>
      </c>
      <c r="D127" s="5" t="s">
        <v>0</v>
      </c>
      <c r="E127" s="5" t="s">
        <v>1</v>
      </c>
      <c r="F127" s="5" t="s">
        <v>6</v>
      </c>
      <c r="G127" s="16">
        <v>23</v>
      </c>
      <c r="H127" s="22" t="str">
        <f t="shared" si="2"/>
        <v>DO A 23</v>
      </c>
      <c r="I127" s="6"/>
      <c r="J127" s="112"/>
      <c r="K127" s="112"/>
      <c r="L127" s="112"/>
      <c r="M127" s="14"/>
      <c r="N127" s="26"/>
      <c r="O127" s="8"/>
      <c r="P127" s="8"/>
      <c r="Q127" s="11"/>
      <c r="R127" s="9"/>
      <c r="S127" s="33" t="s">
        <v>4</v>
      </c>
      <c r="T127" s="9" t="s">
        <v>3</v>
      </c>
    </row>
    <row r="128" spans="1:20">
      <c r="A128" s="5">
        <f t="shared" si="3"/>
        <v>127</v>
      </c>
      <c r="B128" s="5" t="s">
        <v>1</v>
      </c>
      <c r="C128" s="19">
        <v>8</v>
      </c>
      <c r="D128" s="5" t="s">
        <v>0</v>
      </c>
      <c r="E128" s="5" t="s">
        <v>1</v>
      </c>
      <c r="F128" s="5" t="s">
        <v>6</v>
      </c>
      <c r="G128" s="16">
        <v>24</v>
      </c>
      <c r="H128" s="22" t="str">
        <f t="shared" si="2"/>
        <v>DO A 24</v>
      </c>
      <c r="I128" s="6"/>
      <c r="J128" s="122"/>
      <c r="K128" s="122"/>
      <c r="L128" s="122"/>
      <c r="M128" s="14"/>
      <c r="N128" s="26"/>
      <c r="O128" s="8"/>
      <c r="P128" s="8"/>
      <c r="Q128" s="11"/>
      <c r="R128" s="9"/>
      <c r="S128" s="33" t="s">
        <v>4</v>
      </c>
      <c r="T128" s="9" t="s">
        <v>3</v>
      </c>
    </row>
    <row r="129" spans="1:20">
      <c r="A129" s="5">
        <f t="shared" si="3"/>
        <v>128</v>
      </c>
      <c r="B129" s="5" t="s">
        <v>1</v>
      </c>
      <c r="C129" s="19">
        <v>8</v>
      </c>
      <c r="D129" s="5" t="s">
        <v>0</v>
      </c>
      <c r="E129" s="5" t="s">
        <v>1</v>
      </c>
      <c r="F129" s="5" t="s">
        <v>6</v>
      </c>
      <c r="G129" s="16">
        <v>25</v>
      </c>
      <c r="H129" s="22" t="str">
        <f t="shared" si="2"/>
        <v>DO A 25</v>
      </c>
      <c r="I129" s="6"/>
      <c r="J129" s="122"/>
      <c r="K129" s="122"/>
      <c r="L129" s="122"/>
      <c r="M129" s="14"/>
      <c r="N129" s="8"/>
      <c r="O129" s="8"/>
      <c r="P129" s="8"/>
      <c r="Q129" s="11"/>
      <c r="R129" s="9"/>
      <c r="S129" s="33" t="s">
        <v>4</v>
      </c>
      <c r="T129" s="9" t="s">
        <v>3</v>
      </c>
    </row>
    <row r="130" spans="1:20">
      <c r="A130" s="5">
        <f t="shared" si="3"/>
        <v>129</v>
      </c>
      <c r="B130" s="5" t="s">
        <v>1</v>
      </c>
      <c r="C130" s="19">
        <v>8</v>
      </c>
      <c r="D130" s="5" t="s">
        <v>0</v>
      </c>
      <c r="E130" s="5" t="s">
        <v>1</v>
      </c>
      <c r="F130" s="5" t="s">
        <v>6</v>
      </c>
      <c r="G130" s="16">
        <v>26</v>
      </c>
      <c r="H130" s="22" t="str">
        <f t="shared" ref="H130:H135" si="4">E130&amp;" "&amp;F130&amp;" "&amp;G130</f>
        <v>DO A 26</v>
      </c>
      <c r="I130" s="6"/>
      <c r="J130" s="122"/>
      <c r="K130" s="122"/>
      <c r="L130" s="122"/>
      <c r="M130" s="14"/>
      <c r="N130" s="8"/>
      <c r="O130" s="8"/>
      <c r="P130" s="8"/>
      <c r="Q130" s="11"/>
      <c r="R130" s="9"/>
      <c r="S130" s="33" t="s">
        <v>4</v>
      </c>
      <c r="T130" s="9" t="s">
        <v>3</v>
      </c>
    </row>
    <row r="131" spans="1:20">
      <c r="A131" s="5">
        <f t="shared" si="3"/>
        <v>130</v>
      </c>
      <c r="B131" s="5" t="s">
        <v>1</v>
      </c>
      <c r="C131" s="19">
        <v>8</v>
      </c>
      <c r="D131" s="5" t="s">
        <v>0</v>
      </c>
      <c r="E131" s="5" t="s">
        <v>1</v>
      </c>
      <c r="F131" s="5" t="s">
        <v>6</v>
      </c>
      <c r="G131" s="16">
        <v>27</v>
      </c>
      <c r="H131" s="22" t="str">
        <f t="shared" si="4"/>
        <v>DO A 27</v>
      </c>
      <c r="I131" s="6"/>
      <c r="J131" s="122"/>
      <c r="K131" s="122"/>
      <c r="L131" s="122"/>
      <c r="M131" s="14"/>
      <c r="N131" s="26"/>
      <c r="O131" s="8"/>
      <c r="P131" s="8"/>
      <c r="Q131" s="11"/>
      <c r="R131" s="9"/>
      <c r="S131" s="33" t="s">
        <v>4</v>
      </c>
      <c r="T131" s="9" t="s">
        <v>3</v>
      </c>
    </row>
    <row r="132" spans="1:20">
      <c r="A132" s="5">
        <f t="shared" si="3"/>
        <v>131</v>
      </c>
      <c r="B132" s="5" t="s">
        <v>1</v>
      </c>
      <c r="C132" s="19">
        <v>8</v>
      </c>
      <c r="D132" s="5" t="s">
        <v>0</v>
      </c>
      <c r="E132" s="5" t="s">
        <v>1</v>
      </c>
      <c r="F132" s="5" t="s">
        <v>6</v>
      </c>
      <c r="G132" s="16">
        <v>28</v>
      </c>
      <c r="H132" s="22" t="str">
        <f t="shared" si="4"/>
        <v>DO A 28</v>
      </c>
      <c r="I132" s="6"/>
      <c r="J132" s="37"/>
      <c r="K132" s="37"/>
      <c r="L132" s="5"/>
      <c r="M132" s="14"/>
      <c r="N132" s="8"/>
      <c r="O132" s="8"/>
      <c r="P132" s="8"/>
      <c r="Q132" s="11"/>
      <c r="R132" s="9"/>
      <c r="S132" s="33"/>
      <c r="T132" s="9"/>
    </row>
    <row r="133" spans="1:20">
      <c r="A133" s="5">
        <f>IF($H133="","",ROW()-1)</f>
        <v>132</v>
      </c>
      <c r="B133" s="5" t="s">
        <v>1</v>
      </c>
      <c r="C133" s="19">
        <v>8</v>
      </c>
      <c r="D133" s="5" t="s">
        <v>0</v>
      </c>
      <c r="E133" s="5" t="s">
        <v>1</v>
      </c>
      <c r="F133" s="5" t="s">
        <v>6</v>
      </c>
      <c r="G133" s="16">
        <v>29</v>
      </c>
      <c r="H133" s="22" t="str">
        <f t="shared" si="4"/>
        <v>DO A 29</v>
      </c>
      <c r="I133" s="6"/>
      <c r="J133" s="5"/>
      <c r="K133" s="5"/>
      <c r="L133" s="5"/>
      <c r="M133" s="14"/>
      <c r="N133" s="26"/>
      <c r="O133" s="8"/>
      <c r="P133" s="8"/>
      <c r="Q133" s="11"/>
      <c r="R133" s="9"/>
      <c r="S133" s="33"/>
      <c r="T133" s="9"/>
    </row>
    <row r="134" spans="1:20">
      <c r="A134" s="5">
        <f>IF($H134="","",ROW()-1)</f>
        <v>133</v>
      </c>
      <c r="B134" s="5" t="s">
        <v>1</v>
      </c>
      <c r="C134" s="19">
        <v>8</v>
      </c>
      <c r="D134" s="5" t="s">
        <v>0</v>
      </c>
      <c r="E134" s="5" t="s">
        <v>1</v>
      </c>
      <c r="F134" s="5" t="s">
        <v>6</v>
      </c>
      <c r="G134" s="16">
        <v>30</v>
      </c>
      <c r="H134" s="22" t="str">
        <f t="shared" si="4"/>
        <v>DO A 30</v>
      </c>
      <c r="I134" s="6"/>
      <c r="J134" s="37"/>
      <c r="K134" s="37"/>
      <c r="L134" s="5"/>
      <c r="M134" s="14"/>
      <c r="N134" s="8"/>
      <c r="O134" s="8"/>
      <c r="P134" s="94"/>
      <c r="Q134" s="11"/>
      <c r="R134" s="9"/>
      <c r="S134" s="33"/>
      <c r="T134" s="9"/>
    </row>
    <row r="135" spans="1:20">
      <c r="A135" s="5">
        <f>IF($H135="","",ROW()-1)</f>
        <v>134</v>
      </c>
      <c r="B135" s="5" t="s">
        <v>1</v>
      </c>
      <c r="C135" s="19">
        <v>8</v>
      </c>
      <c r="D135" s="5" t="s">
        <v>0</v>
      </c>
      <c r="E135" s="5" t="s">
        <v>1</v>
      </c>
      <c r="F135" s="5" t="s">
        <v>6</v>
      </c>
      <c r="G135" s="16">
        <v>31</v>
      </c>
      <c r="H135" s="22" t="str">
        <f t="shared" si="4"/>
        <v>DO A 31</v>
      </c>
      <c r="I135" s="6"/>
      <c r="J135" s="5"/>
      <c r="K135" s="5"/>
      <c r="L135" s="5" t="str">
        <f t="shared" ref="L135" si="5">$J135 &amp; $K135</f>
        <v/>
      </c>
      <c r="M135" s="14"/>
      <c r="N135" s="26"/>
      <c r="O135" s="8"/>
      <c r="P135" s="95"/>
      <c r="Q135" s="11"/>
      <c r="R135" s="9"/>
      <c r="S135" s="33"/>
      <c r="T135" s="9"/>
    </row>
    <row r="136" spans="1:20">
      <c r="A136" s="2"/>
      <c r="B136" s="2"/>
      <c r="C136" s="20"/>
      <c r="D136" s="2"/>
      <c r="E136" s="2"/>
      <c r="F136" s="2"/>
      <c r="G136" s="17"/>
      <c r="H136" s="23"/>
      <c r="I136" s="2"/>
      <c r="J136" s="2"/>
      <c r="K136" s="2"/>
      <c r="L136" s="31"/>
      <c r="M136" s="2"/>
      <c r="N136" s="2"/>
      <c r="O136" s="3"/>
      <c r="P136" s="93"/>
      <c r="Q136" s="4"/>
      <c r="R136" s="4"/>
      <c r="S136" s="2"/>
      <c r="T136" s="4"/>
    </row>
    <row r="137" spans="1:20">
      <c r="A137" s="2"/>
      <c r="B137" s="2"/>
      <c r="C137" s="20"/>
      <c r="D137" s="2"/>
      <c r="E137" s="2"/>
      <c r="F137" s="2"/>
      <c r="G137" s="17"/>
      <c r="H137" s="23"/>
      <c r="I137" s="2"/>
      <c r="J137" s="2"/>
      <c r="K137" s="2"/>
      <c r="L137" s="31"/>
      <c r="M137" s="2"/>
      <c r="N137" s="2"/>
      <c r="O137" s="4"/>
      <c r="P137" s="3"/>
      <c r="Q137" s="10"/>
      <c r="R137" s="2"/>
      <c r="S137" s="2"/>
      <c r="T137" s="2"/>
    </row>
    <row r="138" spans="1:20">
      <c r="A138" s="2"/>
      <c r="B138" s="2"/>
      <c r="C138" s="20"/>
      <c r="D138" s="2"/>
      <c r="E138" s="2"/>
      <c r="F138" s="2"/>
      <c r="G138" s="17"/>
      <c r="H138" s="23"/>
      <c r="I138" s="2"/>
      <c r="J138" s="2"/>
      <c r="K138" s="2"/>
      <c r="L138" s="31" t="e">
        <f t="shared" ref="L138:L143" ca="1" si="6">_xlfn.CONCAT(J138:K138)</f>
        <v>#NAME?</v>
      </c>
      <c r="M138" s="2"/>
      <c r="N138" s="2"/>
      <c r="O138" s="4"/>
      <c r="P138" s="4"/>
      <c r="Q138" s="10"/>
      <c r="R138" s="2"/>
      <c r="S138" s="2"/>
      <c r="T138" s="2"/>
    </row>
    <row r="139" spans="1:20">
      <c r="A139" s="2"/>
      <c r="B139" s="2"/>
      <c r="C139" s="20"/>
      <c r="D139" s="2"/>
      <c r="E139" s="2"/>
      <c r="F139" s="2"/>
      <c r="G139" s="17"/>
      <c r="H139" s="23"/>
      <c r="I139" s="2"/>
      <c r="J139" s="2"/>
      <c r="K139" s="2"/>
      <c r="L139" s="31" t="e">
        <f t="shared" ca="1" si="6"/>
        <v>#NAME?</v>
      </c>
      <c r="M139" s="2"/>
      <c r="N139" s="2"/>
      <c r="O139" s="2"/>
      <c r="P139" s="3"/>
      <c r="Q139" s="10"/>
      <c r="R139" s="2"/>
      <c r="S139" s="2"/>
      <c r="T139" s="2"/>
    </row>
    <row r="140" spans="1:20">
      <c r="A140" s="2"/>
      <c r="B140" s="2"/>
      <c r="C140" s="20"/>
      <c r="D140" s="2"/>
      <c r="E140" s="2"/>
      <c r="F140" s="2"/>
      <c r="G140" s="17"/>
      <c r="H140" s="23"/>
      <c r="I140" s="2"/>
      <c r="J140" s="2"/>
      <c r="K140" s="2"/>
      <c r="L140" s="31" t="e">
        <f t="shared" ca="1" si="6"/>
        <v>#NAME?</v>
      </c>
      <c r="M140" s="2"/>
      <c r="N140" s="2"/>
      <c r="O140" s="4"/>
      <c r="P140" s="4"/>
      <c r="Q140" s="10"/>
      <c r="R140" s="2"/>
      <c r="S140" s="2"/>
      <c r="T140" s="2"/>
    </row>
    <row r="141" spans="1:20">
      <c r="A141" s="2"/>
      <c r="B141" s="2"/>
      <c r="C141" s="20"/>
      <c r="D141" s="2"/>
      <c r="E141" s="2"/>
      <c r="F141" s="2"/>
      <c r="G141" s="17"/>
      <c r="H141" s="23"/>
      <c r="I141" s="2"/>
      <c r="J141" s="2"/>
      <c r="K141" s="2"/>
      <c r="L141" s="31" t="e">
        <f t="shared" ca="1" si="6"/>
        <v>#NAME?</v>
      </c>
      <c r="M141" s="2"/>
      <c r="N141" s="2"/>
      <c r="O141" s="2"/>
      <c r="P141" s="3"/>
      <c r="Q141" s="10"/>
      <c r="R141" s="2"/>
      <c r="S141" s="2"/>
      <c r="T141" s="2"/>
    </row>
    <row r="142" spans="1:20">
      <c r="A142" s="2"/>
      <c r="B142" s="2"/>
      <c r="C142" s="20"/>
      <c r="D142" s="2"/>
      <c r="E142" s="2"/>
      <c r="F142" s="2"/>
      <c r="G142" s="17"/>
      <c r="H142" s="23"/>
      <c r="I142" s="2"/>
      <c r="J142" s="2"/>
      <c r="K142" s="2"/>
      <c r="L142" s="31" t="e">
        <f t="shared" ca="1" si="6"/>
        <v>#NAME?</v>
      </c>
      <c r="M142" s="2"/>
      <c r="N142" s="2"/>
      <c r="O142" s="4"/>
      <c r="P142" s="4"/>
      <c r="Q142" s="10"/>
      <c r="R142" s="2"/>
      <c r="S142" s="2"/>
      <c r="T142" s="2"/>
    </row>
    <row r="143" spans="1:20">
      <c r="A143" s="2"/>
      <c r="B143" s="2"/>
      <c r="C143" s="20"/>
      <c r="D143" s="2"/>
      <c r="E143" s="2"/>
      <c r="F143" s="2"/>
      <c r="G143" s="17"/>
      <c r="H143" s="23"/>
      <c r="I143" s="2"/>
      <c r="J143" s="2"/>
      <c r="K143" s="2"/>
      <c r="L143" s="31" t="e">
        <f t="shared" ca="1" si="6"/>
        <v>#NAME?</v>
      </c>
      <c r="M143" s="2"/>
      <c r="N143" s="2"/>
      <c r="O143" s="2"/>
      <c r="P143" s="3"/>
      <c r="Q143" s="10"/>
      <c r="R143" s="2"/>
      <c r="S143" s="2"/>
      <c r="T143" s="2"/>
    </row>
    <row r="146" spans="8:19" ht="49.5" customHeight="1">
      <c r="H146" s="1"/>
      <c r="I146" s="12"/>
      <c r="J146" s="1"/>
      <c r="K146" s="1"/>
      <c r="L146" s="12"/>
      <c r="M146" s="13"/>
      <c r="N146" s="1"/>
      <c r="O146" s="1"/>
      <c r="Q146" s="12"/>
      <c r="S146" s="1"/>
    </row>
  </sheetData>
  <autoFilter ref="A1:T135" xr:uid="{00000000-0009-0000-0000-000001000000}">
    <sortState xmlns:xlrd2="http://schemas.microsoft.com/office/spreadsheetml/2017/richdata2" ref="A2:T135">
      <sortCondition ref="A1:A135"/>
    </sortState>
  </autoFilter>
  <mergeCells count="1">
    <mergeCell ref="M77:M78"/>
  </mergeCells>
  <phoneticPr fontId="1" type="noConversion"/>
  <conditionalFormatting sqref="N17:N28">
    <cfRule type="expression" dxfId="64" priority="36">
      <formula>$C17="ETC"</formula>
    </cfRule>
    <cfRule type="expression" dxfId="63" priority="38">
      <formula>$C17="COGEN"</formula>
    </cfRule>
    <cfRule type="expression" dxfId="62" priority="40">
      <formula>$C17="AIR"</formula>
    </cfRule>
    <cfRule type="expression" dxfId="61" priority="37">
      <formula>$C17="CITYGAS"</formula>
    </cfRule>
    <cfRule type="expression" dxfId="60" priority="39">
      <formula>$C17="DIWATER"</formula>
    </cfRule>
  </conditionalFormatting>
  <conditionalFormatting sqref="N30:N36">
    <cfRule type="expression" dxfId="59" priority="17">
      <formula>$C30="CITYGAS"</formula>
    </cfRule>
    <cfRule type="expression" dxfId="58" priority="19">
      <formula>$C30="DIWATER"</formula>
    </cfRule>
    <cfRule type="expression" dxfId="57" priority="20">
      <formula>$C30="AIR"</formula>
    </cfRule>
    <cfRule type="expression" dxfId="56" priority="18">
      <formula>$C30="COGEN"</formula>
    </cfRule>
    <cfRule type="expression" dxfId="55" priority="16">
      <formula>$C30="ETC"</formula>
    </cfRule>
  </conditionalFormatting>
  <conditionalFormatting sqref="N44:N49">
    <cfRule type="expression" dxfId="54" priority="14">
      <formula>$C44="DIWATER"</formula>
    </cfRule>
    <cfRule type="expression" dxfId="53" priority="15">
      <formula>$C44="AIR"</formula>
    </cfRule>
    <cfRule type="expression" dxfId="52" priority="11">
      <formula>$C44="ETC"</formula>
    </cfRule>
    <cfRule type="expression" dxfId="51" priority="12">
      <formula>$C44="CITYGAS"</formula>
    </cfRule>
    <cfRule type="expression" dxfId="50" priority="13">
      <formula>$C44="COGEN"</formula>
    </cfRule>
  </conditionalFormatting>
  <conditionalFormatting sqref="N67:N70">
    <cfRule type="expression" dxfId="49" priority="7">
      <formula>$C67="CITYGAS"</formula>
    </cfRule>
    <cfRule type="expression" dxfId="48" priority="8">
      <formula>$C67="COGEN"</formula>
    </cfRule>
    <cfRule type="expression" dxfId="47" priority="9">
      <formula>$C67="DIWATER"</formula>
    </cfRule>
    <cfRule type="expression" dxfId="46" priority="10">
      <formula>$C67="AIR"</formula>
    </cfRule>
    <cfRule type="expression" dxfId="45" priority="6">
      <formula>$C67="ETC"</formula>
    </cfRule>
  </conditionalFormatting>
  <conditionalFormatting sqref="N76:N85">
    <cfRule type="expression" dxfId="44" priority="2">
      <formula>$C76="CITYGAS"</formula>
    </cfRule>
    <cfRule type="expression" dxfId="43" priority="3">
      <formula>$C76="COGEN"</formula>
    </cfRule>
    <cfRule type="expression" dxfId="42" priority="4">
      <formula>$C76="DIWATER"</formula>
    </cfRule>
    <cfRule type="expression" dxfId="41" priority="5">
      <formula>$C76="AIR"</formula>
    </cfRule>
    <cfRule type="expression" dxfId="40" priority="1">
      <formula>$C76="ETC"</formula>
    </cfRule>
  </conditionalFormatting>
  <conditionalFormatting sqref="N87:N96">
    <cfRule type="expression" dxfId="39" priority="42">
      <formula>$C87="CITYGAS"</formula>
    </cfRule>
    <cfRule type="expression" dxfId="38" priority="41">
      <formula>$C87="ETC"</formula>
    </cfRule>
    <cfRule type="expression" dxfId="37" priority="43">
      <formula>$C87="COGEN"</formula>
    </cfRule>
    <cfRule type="expression" dxfId="36" priority="44">
      <formula>$C87="DIWATER"</formula>
    </cfRule>
    <cfRule type="expression" dxfId="35" priority="45">
      <formula>$C87="AIR"</formula>
    </cfRule>
  </conditionalFormatting>
  <conditionalFormatting sqref="N98">
    <cfRule type="expression" dxfId="34" priority="57">
      <formula>$C98="CITYGAS"</formula>
    </cfRule>
    <cfRule type="expression" dxfId="33" priority="60">
      <formula>$C98="AIR"</formula>
    </cfRule>
    <cfRule type="expression" dxfId="32" priority="58">
      <formula>$C98="COGEN"</formula>
    </cfRule>
    <cfRule type="expression" dxfId="31" priority="59">
      <formula>$C98="DIWATER"</formula>
    </cfRule>
  </conditionalFormatting>
  <conditionalFormatting sqref="N98:N100">
    <cfRule type="expression" dxfId="30" priority="56">
      <formula>$C98="ETC"</formula>
    </cfRule>
  </conditionalFormatting>
  <conditionalFormatting sqref="N99:N101">
    <cfRule type="expression" dxfId="29" priority="52">
      <formula>$C99="CITYGAS"</formula>
    </cfRule>
    <cfRule type="expression" dxfId="28" priority="53">
      <formula>$C99="COGEN"</formula>
    </cfRule>
    <cfRule type="expression" dxfId="27" priority="55">
      <formula>$C99="AIR"</formula>
    </cfRule>
    <cfRule type="expression" dxfId="26" priority="54">
      <formula>$C99="DIWATER"</formula>
    </cfRule>
  </conditionalFormatting>
  <conditionalFormatting sqref="N99:N102">
    <cfRule type="expression" dxfId="25" priority="51">
      <formula>$C99="ETC"</formula>
    </cfRule>
  </conditionalFormatting>
  <conditionalFormatting sqref="N102:N113">
    <cfRule type="expression" dxfId="24" priority="26">
      <formula>$C102="ETC"</formula>
    </cfRule>
    <cfRule type="expression" dxfId="23" priority="27">
      <formula>$C102="CITYGAS"</formula>
    </cfRule>
    <cfRule type="expression" dxfId="22" priority="28">
      <formula>$C102="COGEN"</formula>
    </cfRule>
    <cfRule type="expression" dxfId="21" priority="29">
      <formula>$C102="DIWATER"</formula>
    </cfRule>
    <cfRule type="expression" dxfId="20" priority="30">
      <formula>$C102="AIR"</formula>
    </cfRule>
  </conditionalFormatting>
  <conditionalFormatting sqref="N116:N120">
    <cfRule type="expression" dxfId="19" priority="50">
      <formula>$C116="AIR"</formula>
    </cfRule>
    <cfRule type="expression" dxfId="18" priority="46">
      <formula>$C116="ETC"</formula>
    </cfRule>
    <cfRule type="expression" dxfId="17" priority="47">
      <formula>$C116="CITYGAS"</formula>
    </cfRule>
    <cfRule type="expression" dxfId="16" priority="48">
      <formula>$C116="COGEN"</formula>
    </cfRule>
    <cfRule type="expression" dxfId="15" priority="49">
      <formula>$C116="DIWATER"</formula>
    </cfRule>
  </conditionalFormatting>
  <conditionalFormatting sqref="N126">
    <cfRule type="expression" dxfId="14" priority="34">
      <formula>$C126="DIWATER"</formula>
    </cfRule>
    <cfRule type="expression" dxfId="13" priority="35">
      <formula>$C126="AIR"</formula>
    </cfRule>
    <cfRule type="expression" dxfId="12" priority="32">
      <formula>$C126="CITYGAS"</formula>
    </cfRule>
    <cfRule type="expression" dxfId="11" priority="31">
      <formula>$C126="ETC"</formula>
    </cfRule>
    <cfRule type="expression" dxfId="10" priority="33">
      <formula>$C126="COGEN"</formula>
    </cfRule>
  </conditionalFormatting>
  <conditionalFormatting sqref="N150:N157">
    <cfRule type="expression" dxfId="9" priority="61">
      <formula>$C150="ETC"</formula>
    </cfRule>
    <cfRule type="expression" dxfId="8" priority="62">
      <formula>$C150="CITYGAS"</formula>
    </cfRule>
    <cfRule type="expression" dxfId="7" priority="63">
      <formula>$C150="COGEN"</formula>
    </cfRule>
    <cfRule type="expression" dxfId="6" priority="64">
      <formula>$C150="DIWATER"</formula>
    </cfRule>
    <cfRule type="expression" dxfId="5" priority="65">
      <formula>$C150="AIR"</formula>
    </cfRule>
  </conditionalFormatting>
  <conditionalFormatting sqref="P50:P65">
    <cfRule type="expression" dxfId="4" priority="21">
      <formula>$C50="ETC"</formula>
    </cfRule>
    <cfRule type="expression" dxfId="3" priority="24">
      <formula>$C50="DIWATER"</formula>
    </cfRule>
    <cfRule type="expression" dxfId="2" priority="23">
      <formula>$C50="COGEN"</formula>
    </cfRule>
    <cfRule type="expression" dxfId="1" priority="22">
      <formula>$C50="CITYGAS"</formula>
    </cfRule>
    <cfRule type="expression" dxfId="0" priority="25">
      <formula>$C50="AIR"</formula>
    </cfRule>
  </conditionalFormatting>
  <pageMargins left="0.23622047244094491" right="0.23622047244094491" top="0.39370078740157483" bottom="0.39370078740157483" header="0" footer="0"/>
  <pageSetup paperSize="8" scale="66" fitToHeight="0" orientation="landscape" r:id="rId1"/>
  <rowBreaks count="1" manualBreakCount="1">
    <brk id="65" max="1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F4ACB-110C-4A38-96F6-603CA6E7F1D0}">
  <dimension ref="B2:D2"/>
  <sheetViews>
    <sheetView workbookViewId="0">
      <selection activeCell="D3" sqref="D3"/>
    </sheetView>
  </sheetViews>
  <sheetFormatPr defaultRowHeight="16.5"/>
  <cols>
    <col min="3" max="3" width="17.5" customWidth="1"/>
    <col min="4" max="4" width="19.75" customWidth="1"/>
  </cols>
  <sheetData>
    <row r="2" spans="2:4">
      <c r="B2" t="s">
        <v>268</v>
      </c>
      <c r="C2" t="s">
        <v>269</v>
      </c>
      <c r="D2" t="s">
        <v>270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10k SYS IO_List 260224</vt:lpstr>
      <vt:lpstr>Alpha</vt:lpstr>
      <vt:lpstr>부품자료</vt:lpstr>
      <vt:lpstr>'10k SYS IO_List 260224'!Print_Area</vt:lpstr>
      <vt:lpstr>Alpha!Print_Area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정성문</dc:creator>
  <cp:lastModifiedBy>기철 서</cp:lastModifiedBy>
  <cp:lastPrinted>2026-04-14T06:11:57Z</cp:lastPrinted>
  <dcterms:created xsi:type="dcterms:W3CDTF">2022-06-13T13:28:39Z</dcterms:created>
  <dcterms:modified xsi:type="dcterms:W3CDTF">2026-06-23T10:10:33Z</dcterms:modified>
</cp:coreProperties>
</file>
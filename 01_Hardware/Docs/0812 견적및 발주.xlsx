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H2_Control_Board\01_Hardware\Docs\"/>
    </mc:Choice>
  </mc:AlternateContent>
  <xr:revisionPtr revIDLastSave="0" documentId="13_ncr:1_{EB445960-80F0-4312-9DCA-C28894763A05}" xr6:coauthVersionLast="47" xr6:coauthVersionMax="47" xr10:uidLastSave="{00000000-0000-0000-0000-000000000000}"/>
  <bookViews>
    <workbookView xWindow="-120" yWindow="-120" windowWidth="38640" windowHeight="21120" xr2:uid="{BF495E6E-70F5-4179-B5B6-DF8FE20F5757}"/>
  </bookViews>
  <sheets>
    <sheet name="FuelCell - 발주" sheetId="1" r:id="rId1"/>
  </sheets>
  <definedNames>
    <definedName name="_xlnm._FilterDatabase" localSheetId="0" hidden="1">'FuelCell - 발주'!$A$3:$L$85</definedName>
    <definedName name="_xlnm.Print_Titles" localSheetId="0">'FuelCell - 발주'!$3:$3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86" i="1" s="1"/>
  <c r="M77" i="1"/>
  <c r="M78" i="1"/>
  <c r="M79" i="1"/>
  <c r="M80" i="1"/>
  <c r="M81" i="1"/>
  <c r="M82" i="1"/>
  <c r="M83" i="1"/>
  <c r="M84" i="1"/>
  <c r="M85" i="1"/>
  <c r="M4" i="1"/>
  <c r="H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</calcChain>
</file>

<file path=xl/sharedStrings.xml><?xml version="1.0" encoding="utf-8"?>
<sst xmlns="http://schemas.openxmlformats.org/spreadsheetml/2006/main" count="488" uniqueCount="325">
  <si>
    <t>칩 저항, 칩 콘덴서는 REEL단위 구매</t>
    <phoneticPr fontId="2" type="noConversion"/>
  </si>
  <si>
    <t>- 재고만 부탁합니다.</t>
    <phoneticPr fontId="2" type="noConversion"/>
  </si>
  <si>
    <t/>
  </si>
  <si>
    <t>TP_KEYSTONE_5000</t>
  </si>
  <si>
    <t>C5000</t>
  </si>
  <si>
    <t>Test Point_top</t>
  </si>
  <si>
    <t>{Part No}</t>
  </si>
  <si>
    <t>MF_104_FILKOR</t>
  </si>
  <si>
    <t>104/400v</t>
  </si>
  <si>
    <t>MF500, MF501</t>
  </si>
  <si>
    <t>MF 컨덴서</t>
    <phoneticPr fontId="2" type="noConversion"/>
  </si>
  <si>
    <t>0.1uF</t>
  </si>
  <si>
    <t>MF100</t>
  </si>
  <si>
    <t>LH25-10B24</t>
    <phoneticPr fontId="2" type="noConversion"/>
  </si>
  <si>
    <t>IRM-30-24</t>
  </si>
  <si>
    <t>IRM-30-24</t>
    <phoneticPr fontId="2" type="noConversion"/>
  </si>
  <si>
    <t>U100</t>
  </si>
  <si>
    <t>AC-DC컨버터</t>
    <phoneticPr fontId="2" type="noConversion"/>
  </si>
  <si>
    <t>TERMINAL_10_14</t>
  </si>
  <si>
    <t>HP-1000SA-14pin</t>
    <phoneticPr fontId="2" type="noConversion"/>
  </si>
  <si>
    <t>TN500</t>
  </si>
  <si>
    <t>터미널 블록</t>
    <phoneticPr fontId="2" type="noConversion"/>
  </si>
  <si>
    <t>{PartNo}</t>
  </si>
  <si>
    <t>TERMINAL_10_2</t>
  </si>
  <si>
    <t>HP-1000SA-2pin</t>
    <phoneticPr fontId="2" type="noConversion"/>
  </si>
  <si>
    <t>TM101</t>
  </si>
  <si>
    <t>TERMINAL_10_3</t>
  </si>
  <si>
    <t>HP-1000SA-3pin</t>
    <phoneticPr fontId="2" type="noConversion"/>
  </si>
  <si>
    <t>TM100</t>
  </si>
  <si>
    <t>HL2-2CM</t>
  </si>
  <si>
    <t>U517, U519, U521, U523, U525, U527</t>
  </si>
  <si>
    <t>릴리에</t>
    <phoneticPr fontId="2" type="noConversion"/>
  </si>
  <si>
    <t>CP5_12</t>
  </si>
  <si>
    <t>DIP</t>
    <phoneticPr fontId="2" type="noConversion"/>
  </si>
  <si>
    <t>1000uF/50V</t>
  </si>
  <si>
    <t>CP100, CP101, CP104</t>
  </si>
  <si>
    <t xml:space="preserve">전해 콘덴서 </t>
    <phoneticPr fontId="2" type="noConversion"/>
  </si>
  <si>
    <t>BAT16-400B</t>
  </si>
  <si>
    <t>TO-220-HT</t>
  </si>
  <si>
    <t>16A/600V</t>
    <phoneticPr fontId="2" type="noConversion"/>
  </si>
  <si>
    <t>Q506</t>
  </si>
  <si>
    <t>트라이액</t>
    <phoneticPr fontId="2" type="noConversion"/>
  </si>
  <si>
    <t>Z0405</t>
  </si>
  <si>
    <t>TO-251-3</t>
    <phoneticPr fontId="2" type="noConversion"/>
  </si>
  <si>
    <t xml:space="preserve">Z0405MH </t>
    <phoneticPr fontId="2" type="noConversion"/>
  </si>
  <si>
    <t>Q504</t>
  </si>
  <si>
    <t>FUSE_HOLD_S</t>
  </si>
  <si>
    <t>FUSE_CASE</t>
  </si>
  <si>
    <t>FUSE100, FUSE101</t>
  </si>
  <si>
    <t>1 W</t>
    <phoneticPr fontId="2" type="noConversion"/>
  </si>
  <si>
    <t>330/1w DIP</t>
    <phoneticPr fontId="2" type="noConversion"/>
  </si>
  <si>
    <t>R594, R607</t>
  </si>
  <si>
    <t>저항</t>
    <phoneticPr fontId="2" type="noConversion"/>
  </si>
  <si>
    <t>1990083</t>
  </si>
  <si>
    <t>J300, J301, J302, J303, J304, J305, J306, J307</t>
  </si>
  <si>
    <t>컨넥터 웨이퍼</t>
    <phoneticPr fontId="2" type="noConversion"/>
  </si>
  <si>
    <t>0438600013</t>
  </si>
  <si>
    <t>J201,J200</t>
    <phoneticPr fontId="2" type="noConversion"/>
  </si>
  <si>
    <t>J1</t>
  </si>
  <si>
    <t>{Part No}, yw396-04</t>
  </si>
  <si>
    <t>YW396_04</t>
  </si>
  <si>
    <t>CW515, CW522, CW525, CW527</t>
  </si>
  <si>
    <t>YW396-03</t>
  </si>
  <si>
    <t>YW396_03</t>
  </si>
  <si>
    <t>CW507, CW510, CW517, CW518</t>
  </si>
  <si>
    <t>YW396-02</t>
  </si>
  <si>
    <t>YW396_02</t>
  </si>
  <si>
    <t>CW100, CW500, CW502, CW504, CW506, CW508, CW511, CW512, CW519, CW524, CW529</t>
  </si>
  <si>
    <t>smw025-05</t>
  </si>
  <si>
    <t>SMW250-05D</t>
  </si>
  <si>
    <t>CW406, CW408</t>
  </si>
  <si>
    <t>SMW025-04, smw250-04d</t>
  </si>
  <si>
    <t>SMW250-04D</t>
  </si>
  <si>
    <t>CW405, CW419</t>
  </si>
  <si>
    <t>SMW025-03, smw025-03d, {Part No}</t>
  </si>
  <si>
    <t>SMW250-03D</t>
  </si>
  <si>
    <t>CW400, CW401, CW402, CW403, CW404, CW407, CW409, CW410, CW411, CW412, CW413, CW414, CW415, CW416, CW417, CW418, CW420, CW421, CW501, CW503, CW505, CW509, CW513, CW516, CW520, CW523, CW526, CW528</t>
  </si>
  <si>
    <t>SMW250-02D</t>
  </si>
  <si>
    <t>CW514, CW521</t>
  </si>
  <si>
    <t>cr2032</t>
  </si>
  <si>
    <t>BATT_CASE_2032</t>
  </si>
  <si>
    <t>C2032</t>
  </si>
  <si>
    <t>BS8  - Voltly / CH7410-2032</t>
    <phoneticPr fontId="2" type="noConversion"/>
  </si>
  <si>
    <t>2032</t>
  </si>
  <si>
    <t>베터리 홀더</t>
    <phoneticPr fontId="2" type="noConversion"/>
  </si>
  <si>
    <t>LM2576S-3.3/NOPB</t>
    <phoneticPr fontId="2" type="noConversion"/>
  </si>
  <si>
    <t>KTT0005B</t>
  </si>
  <si>
    <t>LM2576S-5.0/NOPB</t>
    <phoneticPr fontId="2" type="noConversion"/>
  </si>
  <si>
    <t>U102</t>
    <phoneticPr fontId="2" type="noConversion"/>
  </si>
  <si>
    <t>레귤레이터</t>
    <phoneticPr fontId="2" type="noConversion"/>
  </si>
  <si>
    <t>LM2576S-12.0/NOPB</t>
    <phoneticPr fontId="2" type="noConversion"/>
  </si>
  <si>
    <t>U101, U103</t>
    <phoneticPr fontId="2" type="noConversion"/>
  </si>
  <si>
    <t>LM1117-3.3V</t>
  </si>
  <si>
    <t>SOT-223</t>
  </si>
  <si>
    <t xml:space="preserve"> IL1117C-3.3</t>
    <phoneticPr fontId="2" type="noConversion"/>
  </si>
  <si>
    <t>IC1, IC200, IC302</t>
  </si>
  <si>
    <t>BZT52C24 /` TCMMSZ5252BW</t>
    <phoneticPr fontId="2" type="noConversion"/>
  </si>
  <si>
    <t>ZD3216M</t>
  </si>
  <si>
    <t>'10V/0.5A</t>
  </si>
  <si>
    <t>CZRW5240B-G</t>
    <phoneticPr fontId="2" type="noConversion"/>
  </si>
  <si>
    <t>ZD500, ZD501, ZD502, ZD503, ZD504, ZD505, ZD506, ZD507, ZD508</t>
  </si>
  <si>
    <t>제너 다이오드</t>
    <phoneticPr fontId="2" type="noConversion"/>
  </si>
  <si>
    <t>7M25000MEEQT</t>
  </si>
  <si>
    <t>X-tal 25Mhz</t>
    <phoneticPr fontId="2" type="noConversion"/>
  </si>
  <si>
    <t>Y200, Y201</t>
  </si>
  <si>
    <t>osc</t>
    <phoneticPr fontId="2" type="noConversion"/>
  </si>
  <si>
    <t>7M8000MEEQT</t>
    <phoneticPr fontId="2" type="noConversion"/>
  </si>
  <si>
    <t>X-tal 8Mhz</t>
    <phoneticPr fontId="2" type="noConversion"/>
  </si>
  <si>
    <t>7V-8.000MDDQ-T</t>
    <phoneticPr fontId="2" type="noConversion"/>
  </si>
  <si>
    <t>Y1</t>
  </si>
  <si>
    <t>NTR4003</t>
  </si>
  <si>
    <t>SOT-23</t>
  </si>
  <si>
    <t>NTR4003nt1g</t>
    <phoneticPr fontId="2" type="noConversion"/>
  </si>
  <si>
    <t>U502, U505, U510, U513, U516, U518, U520, U522, U524</t>
  </si>
  <si>
    <t>FET</t>
    <phoneticPr fontId="2" type="noConversion"/>
  </si>
  <si>
    <t>FDS5672, IRF7413</t>
    <phoneticPr fontId="2" type="noConversion"/>
  </si>
  <si>
    <t>SOIC127P600X175-8N</t>
  </si>
  <si>
    <t>U501, U504, U507, U509, U512, U515, U526, U528</t>
  </si>
  <si>
    <t>KRC105S</t>
  </si>
  <si>
    <t>Q500, Q501, Q502, Q503, Q505, Q507</t>
  </si>
  <si>
    <t>TR</t>
    <phoneticPr fontId="2" type="noConversion"/>
  </si>
  <si>
    <t>SS34</t>
  </si>
  <si>
    <t>SMA</t>
    <phoneticPr fontId="2" type="noConversion"/>
  </si>
  <si>
    <t>3A</t>
    <phoneticPr fontId="2" type="noConversion"/>
  </si>
  <si>
    <t>ss34</t>
    <phoneticPr fontId="2" type="noConversion"/>
  </si>
  <si>
    <t>SD100, SD101, SD102</t>
  </si>
  <si>
    <t>쇼트키 다이오드</t>
    <phoneticPr fontId="2" type="noConversion"/>
  </si>
  <si>
    <t>BLM21AG102</t>
  </si>
  <si>
    <t>BEADC2012X110N</t>
  </si>
  <si>
    <t>BLM21AG102SN1D</t>
    <phoneticPr fontId="2" type="noConversion"/>
  </si>
  <si>
    <t>L1, L2, L3,L200, L201</t>
    <phoneticPr fontId="2" type="noConversion"/>
  </si>
  <si>
    <t>L 2012</t>
    <phoneticPr fontId="2" type="noConversion"/>
  </si>
  <si>
    <t>SOIC127P1032X265-16N</t>
  </si>
  <si>
    <t>IC6</t>
  </si>
  <si>
    <t>IC</t>
    <phoneticPr fontId="2" type="noConversion"/>
  </si>
  <si>
    <t>SOT254P1016X460-6N</t>
  </si>
  <si>
    <t>IC504, IC505</t>
  </si>
  <si>
    <t>QFN40P400X400X80-29N-D</t>
  </si>
  <si>
    <t>IC501</t>
  </si>
  <si>
    <t>SOIC127P600X175-14N</t>
  </si>
  <si>
    <t>IC500, IC502, IC503</t>
  </si>
  <si>
    <t>QFP40P1400X1400X120-100N</t>
  </si>
  <si>
    <t>IC5</t>
  </si>
  <si>
    <t>SOP50P490X110-10N</t>
  </si>
  <si>
    <t>IC400, IC401, IC402, IC403</t>
  </si>
  <si>
    <t>IC4</t>
  </si>
  <si>
    <t>TO92</t>
  </si>
  <si>
    <t>LM35DZ/NOPB</t>
    <phoneticPr fontId="2" type="noConversion"/>
  </si>
  <si>
    <t>IC304</t>
  </si>
  <si>
    <t>SOP65P640X110-14N</t>
  </si>
  <si>
    <t>IC301</t>
  </si>
  <si>
    <t>SOP65P640X120-28N</t>
  </si>
  <si>
    <t>ADG706BRUZ</t>
    <phoneticPr fontId="2" type="noConversion"/>
  </si>
  <si>
    <t>IC300, IC303, IC305, IC306, IC307, IC308</t>
  </si>
  <si>
    <t>SON127P800X600X80-9N-D</t>
  </si>
  <si>
    <t>IC3</t>
  </si>
  <si>
    <t>QFP50P900X900X160-48N</t>
  </si>
  <si>
    <t>IC201, IC202</t>
  </si>
  <si>
    <t>W25Q256JVEIQ</t>
    <phoneticPr fontId="2" type="noConversion"/>
  </si>
  <si>
    <t>IC2</t>
  </si>
  <si>
    <t>R3216</t>
  </si>
  <si>
    <t>510k</t>
  </si>
  <si>
    <t>R214, R215, R216, R217</t>
  </si>
  <si>
    <t>칩저항 3216</t>
    <phoneticPr fontId="2" type="noConversion"/>
  </si>
  <si>
    <t>330</t>
  </si>
  <si>
    <t>R593, R602, R606, R613</t>
  </si>
  <si>
    <t>0</t>
  </si>
  <si>
    <t>R1, R2, R3, R402, R405, R409, R413, R416, R422, R424, R431, R432, R439, R441, R447, R450, R455, R457</t>
  </si>
  <si>
    <t>1k</t>
  </si>
  <si>
    <t>R2012</t>
    <phoneticPr fontId="2" type="noConversion"/>
  </si>
  <si>
    <t>R419, R426, R434, R442, R449, R451</t>
  </si>
  <si>
    <t>칩저항 2012</t>
    <phoneticPr fontId="2" type="noConversion"/>
  </si>
  <si>
    <t>RESC1608X55N</t>
  </si>
  <si>
    <t>100k</t>
    <phoneticPr fontId="2" type="noConversion"/>
  </si>
  <si>
    <t>R564, R574, R583, R592, R605</t>
  </si>
  <si>
    <t>칩저항 1608</t>
    <phoneticPr fontId="2" type="noConversion"/>
  </si>
  <si>
    <t>47k</t>
  </si>
  <si>
    <t>R104, R106</t>
  </si>
  <si>
    <t>20k</t>
  </si>
  <si>
    <t>R100</t>
  </si>
  <si>
    <t>10K</t>
  </si>
  <si>
    <t>R5, R6, R9, R10, R111, R200, R201, R202, R203, R204, R205, R411, R418, R425, R433, R440, R448, R506, R507, R509, R511, R513, R515, R518, R519, R524, R525, R527, R528, R529, R534, R536, R537, R540, R542, R544, R546, R547, R548, R551, R552, R553, R555, R556, R557, R560, R563, R565, R567, R569, R571, R573, R576, R577, R580, R582, R584, R586, R589, R590, R596, R601, R604, R610, R615, R616</t>
  </si>
  <si>
    <t>4.7k</t>
  </si>
  <si>
    <t>R8, R11, R12, R13, R105</t>
  </si>
  <si>
    <t>3.3k</t>
  </si>
  <si>
    <t>R101, R102, R108, R412, R502, R508, R512, R522, R530, R541, R549, R558, R566, R575, R585, R595, R597, R609, R611</t>
  </si>
  <si>
    <t>2k</t>
  </si>
  <si>
    <t>R103, R110, R562, R572, R581, R591, R603</t>
  </si>
  <si>
    <t>R109</t>
  </si>
  <si>
    <t>470</t>
  </si>
  <si>
    <t>R107, R505, R510, R514, R523, R526, R533, R535, R543, R545, R550, R554, R559, R561, R568, R570, R578, R579, R587, R588, R598, R599, R600, R608, R612, R614</t>
  </si>
  <si>
    <t>249/1%</t>
    <phoneticPr fontId="2" type="noConversion"/>
  </si>
  <si>
    <t>R401, R404, R407, R410, R415, R421, R423, R429, R430, R437, R438, R445, R446, R454, R456</t>
  </si>
  <si>
    <t>120Ω  /1 %</t>
    <phoneticPr fontId="2" type="noConversion"/>
  </si>
  <si>
    <t>R4, R7</t>
  </si>
  <si>
    <t>100</t>
  </si>
  <si>
    <t>R300, R301, R302, R400, R403, R406, R408, R414, R417, R420, R427, R428, R435, R436, R443, R444, R452, R453, R500, R501, R503, R504, R516, R517, R520, R521, R531, R532, R538, R539</t>
  </si>
  <si>
    <t>49.9/1%</t>
  </si>
  <si>
    <t>R206, R207, R208, R209, R210, R211, R212, R213</t>
  </si>
  <si>
    <t>LED1608</t>
  </si>
  <si>
    <t>녹색 1608</t>
    <phoneticPr fontId="2" type="noConversion"/>
  </si>
  <si>
    <t>BL-HG035A-AV-TRB</t>
    <phoneticPr fontId="2" type="noConversion"/>
  </si>
  <si>
    <t xml:space="preserve">LED502, LED504, LED506 ,LED508, LED509, </t>
    <phoneticPr fontId="2" type="noConversion"/>
  </si>
  <si>
    <t>칩 LED 1608</t>
    <phoneticPr fontId="2" type="noConversion"/>
  </si>
  <si>
    <t>적색 1608</t>
    <phoneticPr fontId="2" type="noConversion"/>
  </si>
  <si>
    <t>BL-HUF35A-AV-TRB</t>
    <phoneticPr fontId="2" type="noConversion"/>
  </si>
  <si>
    <t>LED100, LED101, LED102, LED103, LED500, LED501, , LED503, LED505,  LED507, LED510, LED511, LED512, LED513, LED514, LED515, LED516, LED517, LED518, LED519, LED520, LED521, LED522</t>
    <phoneticPr fontId="2" type="noConversion"/>
  </si>
  <si>
    <t xml:space="preserve">칩 LED 1608 </t>
    <phoneticPr fontId="2" type="noConversion"/>
  </si>
  <si>
    <t>VLP8040T-100M</t>
  </si>
  <si>
    <t xml:space="preserve">SC1260-330M(33UH) </t>
    <phoneticPr fontId="2" type="noConversion"/>
  </si>
  <si>
    <t>L101, L102, L103</t>
  </si>
  <si>
    <t>SC1260</t>
  </si>
  <si>
    <t>HP1-P10</t>
  </si>
  <si>
    <t>NF_HP1</t>
  </si>
  <si>
    <t>L100</t>
  </si>
  <si>
    <t>NOISE FILTER</t>
    <phoneticPr fontId="2" type="noConversion"/>
  </si>
  <si>
    <t>1N4007</t>
  </si>
  <si>
    <t>MINI-SMA</t>
  </si>
  <si>
    <t>sod4007</t>
    <phoneticPr fontId="2" type="noConversion"/>
  </si>
  <si>
    <t>D500, D503, D504, D507, D510, D511, D512, D513, D514, D515, D516, D517, D518, D519, D520, D521, D522, D523, D524</t>
  </si>
  <si>
    <t>다이오드</t>
    <phoneticPr fontId="2" type="noConversion"/>
  </si>
  <si>
    <t>bat54-g</t>
  </si>
  <si>
    <t>BAT54C-G</t>
  </si>
  <si>
    <t>D400, D401, D402, D403, D404, D405, D406, D407, D408, D409, D410, D411, D412, D413, D414</t>
  </si>
  <si>
    <t>다이오드 쇼트키</t>
    <phoneticPr fontId="2" type="noConversion"/>
  </si>
  <si>
    <t>sm712</t>
  </si>
  <si>
    <t>SOT95P240X115-3N</t>
  </si>
  <si>
    <t>D1, D501, D502, D505, D506, D508, D509</t>
  </si>
  <si>
    <t>다이오드 TVS</t>
    <phoneticPr fontId="2" type="noConversion"/>
  </si>
  <si>
    <t>RV16V220 6.3X7.7 (ELNA / 삼영)</t>
  </si>
  <si>
    <t>CP6_SMT</t>
  </si>
  <si>
    <t>CHIP 전해 [6.3파이]</t>
    <phoneticPr fontId="2" type="noConversion"/>
  </si>
  <si>
    <t>CHIP 전해 220uF/16V(MVK) [6.3*6]</t>
    <phoneticPr fontId="2" type="noConversion"/>
  </si>
  <si>
    <t>CP2, CP201, CP301</t>
  </si>
  <si>
    <t>CHIP 전해</t>
    <phoneticPr fontId="2" type="noConversion"/>
  </si>
  <si>
    <t>{Value}</t>
  </si>
  <si>
    <t>CP10_SMT</t>
  </si>
  <si>
    <t>CHIP 전해 [10파이]</t>
  </si>
  <si>
    <t>CHIP 전해 470UF/25V(MVK) [10파이]</t>
    <phoneticPr fontId="2" type="noConversion"/>
  </si>
  <si>
    <t>CP102, CP103, CP105</t>
  </si>
  <si>
    <t>CP5_SMT</t>
  </si>
  <si>
    <t>CHIP 전해 100uF/16V(MVK) [6.3*6]</t>
    <phoneticPr fontId="2" type="noConversion"/>
  </si>
  <si>
    <t>CP1, CP200, CP300</t>
  </si>
  <si>
    <t>C4520_COMMERCIAL</t>
  </si>
  <si>
    <t>C4520</t>
    <phoneticPr fontId="2" type="noConversion"/>
  </si>
  <si>
    <t>C4520X7R3D102K130KA</t>
    <phoneticPr fontId="2" type="noConversion"/>
  </si>
  <si>
    <t>C214, C215</t>
  </si>
  <si>
    <t>칩 세라믹</t>
    <phoneticPr fontId="2" type="noConversion"/>
  </si>
  <si>
    <t>C2012X7R1H104KT  (CC20X104K50W)</t>
  </si>
  <si>
    <t>CC2012</t>
  </si>
  <si>
    <t>C2012</t>
  </si>
  <si>
    <t>C100, C101, C102, C103, C104</t>
  </si>
  <si>
    <t>CC1608N</t>
  </si>
  <si>
    <t>C1608</t>
  </si>
  <si>
    <t>0.1uF</t>
    <phoneticPr fontId="2" type="noConversion"/>
  </si>
  <si>
    <t>C5, C7, C8, C9, C10, C12, C206, C207, C208, C209, C300, C301, C306, C307, C308, C309, C310, C311, C312, C313,'C1, C2, C3, C4, C6, C204, C205, C210, C211, C212, C213, C302, C303, C400, C401, C402, C403, C404, C405, C406, C407, C408, C409, C410, C411, C412, C413, C414, C415, C416, C417, C418, C500, C501, C502, C503, C504</t>
    <phoneticPr fontId="2" type="noConversion"/>
  </si>
  <si>
    <t>C1608</t>
    <phoneticPr fontId="2" type="noConversion"/>
  </si>
  <si>
    <t>0.01uF</t>
    <phoneticPr fontId="2" type="noConversion"/>
  </si>
  <si>
    <t>C304, C305</t>
  </si>
  <si>
    <t>CC1608</t>
    <phoneticPr fontId="2" type="noConversion"/>
  </si>
  <si>
    <t>C13, C14, C200, C201, C202, C203</t>
  </si>
  <si>
    <t>DF06</t>
  </si>
  <si>
    <t>DF-S</t>
  </si>
  <si>
    <t>DF06S</t>
  </si>
  <si>
    <t>BD100</t>
  </si>
  <si>
    <t>다이오드 브릿지</t>
    <phoneticPr fontId="2" type="noConversion"/>
  </si>
  <si>
    <t>B100, B101, B400, B401, B402, B403, B404, B405, B500, B501, B502, B503, B504, B505, B506, B507, B508, B509, B510, B511, B512, B513, B514, B515, B516, B517, B518, B519, B520, B521, B522, B523, 'B524,B525, B526, B527</t>
    <phoneticPr fontId="2" type="noConversion"/>
  </si>
  <si>
    <t>포토커플러</t>
    <phoneticPr fontId="2" type="noConversion"/>
  </si>
  <si>
    <t>Price</t>
  </si>
  <si>
    <t>필요수량</t>
    <phoneticPr fontId="2" type="noConversion"/>
  </si>
  <si>
    <t>재고</t>
    <phoneticPr fontId="2" type="noConversion"/>
  </si>
  <si>
    <t>Part No.</t>
  </si>
  <si>
    <t>Footprint</t>
  </si>
  <si>
    <t>Quantity</t>
  </si>
  <si>
    <t>규격</t>
    <phoneticPr fontId="2" type="noConversion"/>
  </si>
  <si>
    <t>Part No</t>
    <phoneticPr fontId="2" type="noConversion"/>
  </si>
  <si>
    <t>Designator</t>
    <phoneticPr fontId="2" type="noConversion"/>
  </si>
  <si>
    <t>Comment</t>
  </si>
  <si>
    <t>생산수량</t>
    <phoneticPr fontId="2" type="noConversion"/>
  </si>
  <si>
    <t>연료전지 컨트롤러 PCB</t>
    <phoneticPr fontId="2" type="noConversion"/>
  </si>
  <si>
    <t>moq</t>
    <phoneticPr fontId="2" type="noConversion"/>
  </si>
  <si>
    <r>
      <t>PC357N14J00F/</t>
    </r>
    <r>
      <rPr>
        <b/>
        <sz val="11"/>
        <color rgb="FFFF0000"/>
        <rFont val="맑은 고딕"/>
        <family val="3"/>
        <charset val="129"/>
        <scheme val="minor"/>
      </rPr>
      <t>TLP185GB (대치품)</t>
    </r>
    <phoneticPr fontId="2" type="noConversion"/>
  </si>
  <si>
    <t>납기</t>
    <phoneticPr fontId="2" type="noConversion"/>
  </si>
  <si>
    <t>1일</t>
    <phoneticPr fontId="2" type="noConversion"/>
  </si>
  <si>
    <r>
      <t>22p /</t>
    </r>
    <r>
      <rPr>
        <b/>
        <sz val="11"/>
        <color rgb="FFFF0000"/>
        <rFont val="맑은 고딕"/>
        <family val="3"/>
        <charset val="129"/>
        <scheme val="minor"/>
      </rPr>
      <t xml:space="preserve"> 50V</t>
    </r>
    <phoneticPr fontId="2" type="noConversion"/>
  </si>
  <si>
    <r>
      <t xml:space="preserve">0.1uF / </t>
    </r>
    <r>
      <rPr>
        <b/>
        <sz val="11"/>
        <color rgb="FFFF0000"/>
        <rFont val="맑은 고딕"/>
        <family val="3"/>
        <charset val="129"/>
        <scheme val="minor"/>
      </rPr>
      <t>50V</t>
    </r>
    <phoneticPr fontId="2" type="noConversion"/>
  </si>
  <si>
    <t>7일</t>
    <phoneticPr fontId="2" type="noConversion"/>
  </si>
  <si>
    <t>STOCK</t>
    <phoneticPr fontId="2" type="noConversion"/>
  </si>
  <si>
    <r>
      <t xml:space="preserve">SM712.TCT / </t>
    </r>
    <r>
      <rPr>
        <b/>
        <sz val="11"/>
        <color rgb="FFFF0000"/>
        <rFont val="맑은 고딕"/>
        <family val="3"/>
        <charset val="129"/>
        <scheme val="minor"/>
      </rPr>
      <t>SM712-02HTG</t>
    </r>
    <phoneticPr fontId="2" type="noConversion"/>
  </si>
  <si>
    <t>4일</t>
    <phoneticPr fontId="2" type="noConversion"/>
  </si>
  <si>
    <t>불가</t>
    <phoneticPr fontId="2" type="noConversion"/>
  </si>
  <si>
    <t>SC1260S</t>
    <phoneticPr fontId="2" type="noConversion"/>
  </si>
  <si>
    <t>J급</t>
    <phoneticPr fontId="2" type="noConversion"/>
  </si>
  <si>
    <t>W5500</t>
    <phoneticPr fontId="2" type="noConversion"/>
  </si>
  <si>
    <t>5일</t>
    <phoneticPr fontId="2" type="noConversion"/>
  </si>
  <si>
    <t>단종아이템 (16년도 데이터 코드)</t>
    <phoneticPr fontId="2" type="noConversion"/>
  </si>
  <si>
    <t>7~8일</t>
    <phoneticPr fontId="2" type="noConversion"/>
  </si>
  <si>
    <t>MAX31856MUD+</t>
    <phoneticPr fontId="2" type="noConversion"/>
  </si>
  <si>
    <t>MAX3485CSA+</t>
    <phoneticPr fontId="2" type="noConversion"/>
  </si>
  <si>
    <t>ADS1115BQDGSRQ1</t>
    <phoneticPr fontId="2" type="noConversion"/>
  </si>
  <si>
    <t>DSPIC33CK512MP710-E_PT</t>
    <phoneticPr fontId="2" type="noConversion"/>
  </si>
  <si>
    <t>TLV2374ID</t>
    <phoneticPr fontId="2" type="noConversion"/>
  </si>
  <si>
    <t>DAC60516RUYT</t>
    <phoneticPr fontId="2" type="noConversion"/>
  </si>
  <si>
    <t>MOC3063S</t>
    <phoneticPr fontId="2" type="noConversion"/>
  </si>
  <si>
    <t>DS3231SN+</t>
    <phoneticPr fontId="2" type="noConversion"/>
  </si>
  <si>
    <r>
      <t>FDS8880/</t>
    </r>
    <r>
      <rPr>
        <b/>
        <sz val="11"/>
        <color rgb="FFFF0000"/>
        <rFont val="맑은 고딕"/>
        <family val="3"/>
        <charset val="129"/>
        <scheme val="minor"/>
      </rPr>
      <t>SQ4184EY-T1_GE3</t>
    </r>
    <phoneticPr fontId="2" type="noConversion"/>
  </si>
  <si>
    <t>7M-25.000MEEQ-T</t>
    <phoneticPr fontId="2" type="noConversion"/>
  </si>
  <si>
    <t>SMW250-03D</t>
    <phoneticPr fontId="2" type="noConversion"/>
  </si>
  <si>
    <r>
      <t>YW396_02</t>
    </r>
    <r>
      <rPr>
        <sz val="11"/>
        <color rgb="FFFF0000"/>
        <rFont val="맑은 고딕"/>
        <family val="3"/>
        <charset val="129"/>
        <scheme val="minor"/>
      </rPr>
      <t>V</t>
    </r>
    <phoneticPr fontId="2" type="noConversion"/>
  </si>
  <si>
    <r>
      <t>YW396_03</t>
    </r>
    <r>
      <rPr>
        <sz val="11"/>
        <color rgb="FFFF0000"/>
        <rFont val="맑은 고딕"/>
        <family val="3"/>
        <charset val="129"/>
        <scheme val="minor"/>
      </rPr>
      <t>V</t>
    </r>
    <phoneticPr fontId="2" type="noConversion"/>
  </si>
  <si>
    <r>
      <t>YW396_04</t>
    </r>
    <r>
      <rPr>
        <sz val="11"/>
        <color rgb="FFFF0000"/>
        <rFont val="맑은 고딕"/>
        <family val="3"/>
        <charset val="129"/>
        <scheme val="minor"/>
      </rPr>
      <t>V</t>
    </r>
    <phoneticPr fontId="2" type="noConversion"/>
  </si>
  <si>
    <t>MF 104 AC250V 10MM 피치</t>
    <phoneticPr fontId="2" type="noConversion"/>
  </si>
  <si>
    <t>1~2일</t>
    <phoneticPr fontId="2" type="noConversion"/>
  </si>
  <si>
    <r>
      <t xml:space="preserve">HL2-2CM-dc24v / </t>
    </r>
    <r>
      <rPr>
        <b/>
        <sz val="11"/>
        <color rgb="FFFF0000"/>
        <rFont val="맑은 고딕"/>
        <family val="3"/>
        <charset val="129"/>
        <scheme val="minor"/>
      </rPr>
      <t>HL2-2CM-24S</t>
    </r>
    <phoneticPr fontId="2" type="noConversion"/>
  </si>
  <si>
    <t>7일 / 최초 20개 가능/ 차후 MOQ - 50개</t>
    <phoneticPr fontId="2" type="noConversion"/>
  </si>
  <si>
    <t>0438600013</t>
    <phoneticPr fontId="2" type="noConversion"/>
  </si>
  <si>
    <t>1990083</t>
    <phoneticPr fontId="2" type="noConversion"/>
  </si>
  <si>
    <t xml:space="preserve">BTA16-600B </t>
    <phoneticPr fontId="2" type="noConversion"/>
  </si>
  <si>
    <t>전해 1000UF/50V(KMG) [12.5X25]</t>
    <phoneticPr fontId="2" type="noConversion"/>
  </si>
  <si>
    <t>TP_KEYSTONE_5000</t>
    <phoneticPr fontId="2" type="noConversion"/>
  </si>
  <si>
    <t>재고 없음 (대치품 확인중)</t>
    <phoneticPr fontId="2" type="noConversion"/>
  </si>
  <si>
    <t>확인중</t>
    <phoneticPr fontId="2" type="noConversion"/>
  </si>
  <si>
    <t>NF-HP10</t>
    <phoneticPr fontId="2" type="noConversion"/>
  </si>
  <si>
    <t>MAX3490CSA+</t>
    <phoneticPr fontId="2" type="noConversion"/>
  </si>
  <si>
    <t>1843253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</si>
</sst>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0_);[Red]\(#,##0.0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0" fillId="2" borderId="0" xfId="0" quotePrefix="1" applyFill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quotePrefix="1" applyFill="1" applyBorder="1">
      <alignment vertical="center"/>
    </xf>
    <xf numFmtId="41" fontId="0" fillId="3" borderId="2" xfId="1" quotePrefix="1" applyFont="1" applyFill="1" applyBorder="1">
      <alignment vertical="center"/>
    </xf>
    <xf numFmtId="41" fontId="0" fillId="2" borderId="4" xfId="1" quotePrefix="1" applyFont="1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49" fontId="0" fillId="2" borderId="4" xfId="0" quotePrefix="1" applyNumberFormat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quotePrefix="1" applyFill="1" applyBorder="1">
      <alignment vertical="center"/>
    </xf>
    <xf numFmtId="41" fontId="0" fillId="3" borderId="4" xfId="1" quotePrefix="1" applyFont="1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49" fontId="0" fillId="3" borderId="4" xfId="0" quotePrefix="1" applyNumberFormat="1" applyFill="1" applyBorder="1" applyAlignment="1">
      <alignment vertical="center" wrapText="1"/>
    </xf>
    <xf numFmtId="0" fontId="0" fillId="3" borderId="4" xfId="0" applyFill="1" applyBorder="1">
      <alignment vertical="center"/>
    </xf>
    <xf numFmtId="0" fontId="0" fillId="4" borderId="0" xfId="0" applyFill="1">
      <alignment vertical="center"/>
    </xf>
    <xf numFmtId="0" fontId="0" fillId="4" borderId="5" xfId="0" applyFill="1" applyBorder="1">
      <alignment vertical="center"/>
    </xf>
    <xf numFmtId="41" fontId="0" fillId="4" borderId="5" xfId="1" applyFont="1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49" fontId="0" fillId="4" borderId="5" xfId="0" applyNumberFormat="1" applyFill="1" applyBorder="1" applyAlignment="1">
      <alignment vertical="center" wrapText="1"/>
    </xf>
    <xf numFmtId="0" fontId="0" fillId="4" borderId="6" xfId="0" applyFill="1" applyBorder="1">
      <alignment vertical="center"/>
    </xf>
    <xf numFmtId="22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vertical="center" wrapText="1"/>
    </xf>
    <xf numFmtId="176" fontId="0" fillId="0" borderId="0" xfId="0" applyNumberFormat="1">
      <alignment vertical="center"/>
    </xf>
    <xf numFmtId="176" fontId="0" fillId="4" borderId="5" xfId="0" applyNumberFormat="1" applyFill="1" applyBorder="1">
      <alignment vertical="center"/>
    </xf>
    <xf numFmtId="176" fontId="0" fillId="3" borderId="4" xfId="0" quotePrefix="1" applyNumberFormat="1" applyFill="1" applyBorder="1">
      <alignment vertical="center"/>
    </xf>
    <xf numFmtId="176" fontId="0" fillId="2" borderId="4" xfId="0" quotePrefix="1" applyNumberFormat="1" applyFill="1" applyBorder="1">
      <alignment vertical="center"/>
    </xf>
    <xf numFmtId="0" fontId="0" fillId="4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quotePrefix="1" applyFill="1" applyBorder="1">
      <alignment vertical="center"/>
    </xf>
    <xf numFmtId="49" fontId="0" fillId="5" borderId="4" xfId="0" quotePrefix="1" applyNumberFormat="1" applyFill="1" applyBorder="1" applyAlignment="1">
      <alignment vertical="center" wrapText="1"/>
    </xf>
    <xf numFmtId="0" fontId="0" fillId="5" borderId="4" xfId="0" applyFill="1" applyBorder="1">
      <alignment vertical="center"/>
    </xf>
    <xf numFmtId="0" fontId="0" fillId="5" borderId="4" xfId="0" applyFill="1" applyBorder="1" applyAlignment="1">
      <alignment horizontal="center" vertical="center"/>
    </xf>
    <xf numFmtId="41" fontId="0" fillId="5" borderId="4" xfId="1" applyFont="1" applyFill="1" applyBorder="1">
      <alignment vertical="center"/>
    </xf>
    <xf numFmtId="41" fontId="0" fillId="5" borderId="2" xfId="1" quotePrefix="1" applyFont="1" applyFill="1" applyBorder="1">
      <alignment vertical="center"/>
    </xf>
    <xf numFmtId="176" fontId="0" fillId="5" borderId="4" xfId="0" applyNumberFormat="1" applyFill="1" applyBorder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41" fontId="0" fillId="5" borderId="4" xfId="1" quotePrefix="1" applyFont="1" applyFill="1" applyBorder="1">
      <alignment vertical="center"/>
    </xf>
    <xf numFmtId="176" fontId="0" fillId="5" borderId="4" xfId="0" quotePrefix="1" applyNumberFormat="1" applyFill="1" applyBorder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0" fillId="5" borderId="2" xfId="0" quotePrefix="1" applyFill="1" applyBorder="1">
      <alignment vertical="center"/>
    </xf>
    <xf numFmtId="49" fontId="0" fillId="5" borderId="2" xfId="0" quotePrefix="1" applyNumberFormat="1" applyFill="1" applyBorder="1" applyAlignment="1">
      <alignment vertical="center" wrapText="1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center" vertical="center"/>
    </xf>
    <xf numFmtId="176" fontId="0" fillId="5" borderId="2" xfId="0" applyNumberFormat="1" applyFill="1" applyBorder="1">
      <alignment vertical="center"/>
    </xf>
    <xf numFmtId="0" fontId="6" fillId="5" borderId="0" xfId="0" applyFont="1" applyFill="1">
      <alignment vertical="center"/>
    </xf>
    <xf numFmtId="0" fontId="0" fillId="5" borderId="1" xfId="0" quotePrefix="1" applyFill="1" applyBorder="1">
      <alignment vertical="center"/>
    </xf>
    <xf numFmtId="49" fontId="0" fillId="5" borderId="1" xfId="0" quotePrefix="1" applyNumberFormat="1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quotePrefix="1" applyFont="1" applyFill="1" applyBorder="1">
      <alignment vertical="center"/>
    </xf>
    <xf numFmtId="41" fontId="0" fillId="5" borderId="7" xfId="1" quotePrefix="1" applyFont="1" applyFill="1" applyBorder="1">
      <alignment vertical="center"/>
    </xf>
    <xf numFmtId="176" fontId="0" fillId="5" borderId="1" xfId="0" applyNumberFormat="1" applyFill="1" applyBorder="1">
      <alignment vertical="center"/>
    </xf>
    <xf numFmtId="176" fontId="0" fillId="4" borderId="0" xfId="0" applyNumberFormat="1" applyFill="1">
      <alignment vertical="center"/>
    </xf>
    <xf numFmtId="176" fontId="0" fillId="5" borderId="0" xfId="0" applyNumberFormat="1" applyFill="1">
      <alignment vertical="center"/>
    </xf>
    <xf numFmtId="0" fontId="0" fillId="6" borderId="3" xfId="0" applyFill="1" applyBorder="1" applyAlignment="1">
      <alignment horizontal="center" vertical="center"/>
    </xf>
    <xf numFmtId="0" fontId="0" fillId="6" borderId="4" xfId="0" quotePrefix="1" applyFill="1" applyBorder="1">
      <alignment vertical="center"/>
    </xf>
    <xf numFmtId="49" fontId="0" fillId="6" borderId="4" xfId="0" quotePrefix="1" applyNumberFormat="1" applyFill="1" applyBorder="1" applyAlignment="1">
      <alignment vertical="center" wrapText="1"/>
    </xf>
    <xf numFmtId="0" fontId="0" fillId="6" borderId="4" xfId="0" applyFill="1" applyBorder="1">
      <alignment vertical="center"/>
    </xf>
    <xf numFmtId="0" fontId="0" fillId="6" borderId="4" xfId="0" applyFill="1" applyBorder="1" applyAlignment="1">
      <alignment horizontal="center" vertical="center"/>
    </xf>
    <xf numFmtId="41" fontId="0" fillId="6" borderId="4" xfId="1" quotePrefix="1" applyFont="1" applyFill="1" applyBorder="1">
      <alignment vertical="center"/>
    </xf>
    <xf numFmtId="41" fontId="0" fillId="6" borderId="2" xfId="1" quotePrefix="1" applyFont="1" applyFill="1" applyBorder="1">
      <alignment vertical="center"/>
    </xf>
    <xf numFmtId="176" fontId="0" fillId="6" borderId="4" xfId="0" quotePrefix="1" applyNumberFormat="1" applyFill="1" applyBorder="1">
      <alignment vertical="center"/>
    </xf>
    <xf numFmtId="176" fontId="0" fillId="6" borderId="0" xfId="0" applyNumberFormat="1" applyFill="1">
      <alignment vertical="center"/>
    </xf>
    <xf numFmtId="0" fontId="6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41" fontId="0" fillId="6" borderId="4" xfId="1" applyFont="1" applyFill="1" applyBorder="1">
      <alignment vertical="center"/>
    </xf>
    <xf numFmtId="176" fontId="0" fillId="6" borderId="4" xfId="0" applyNumberFormat="1" applyFill="1" applyBorder="1">
      <alignment vertical="center"/>
    </xf>
    <xf numFmtId="0" fontId="6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1" fontId="0" fillId="5" borderId="8" xfId="1" quotePrefix="1" applyFont="1" applyFill="1" applyBorder="1" applyAlignment="1">
      <alignment horizontal="center" vertical="center"/>
    </xf>
    <xf numFmtId="41" fontId="0" fillId="5" borderId="2" xfId="1" quotePrefix="1" applyFont="1" applyFill="1" applyBorder="1" applyAlignment="1">
      <alignment horizontal="center" vertical="center"/>
    </xf>
    <xf numFmtId="176" fontId="0" fillId="5" borderId="8" xfId="0" quotePrefix="1" applyNumberFormat="1" applyFill="1" applyBorder="1" applyAlignment="1">
      <alignment horizontal="center" vertical="center"/>
    </xf>
    <xf numFmtId="176" fontId="0" fillId="5" borderId="2" xfId="0" quotePrefix="1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6" fillId="5" borderId="8" xfId="0" quotePrefix="1" applyFont="1" applyFill="1" applyBorder="1" applyAlignment="1">
      <alignment horizontal="center" vertical="center"/>
    </xf>
    <xf numFmtId="0" fontId="6" fillId="5" borderId="2" xfId="0" quotePrefix="1" applyFont="1" applyFill="1" applyBorder="1" applyAlignment="1">
      <alignment horizontal="center" vertical="center"/>
    </xf>
    <xf numFmtId="0" fontId="0" fillId="7" borderId="4" xfId="0" quotePrefix="1" applyFill="1" applyBorder="1">
      <alignment vertical="center"/>
    </xf>
    <xf numFmtId="0" fontId="0" fillId="7" borderId="3" xfId="0" applyFill="1" applyBorder="1" applyAlignment="1">
      <alignment horizontal="center" vertical="center"/>
    </xf>
    <xf numFmtId="49" fontId="0" fillId="7" borderId="4" xfId="0" quotePrefix="1" applyNumberFormat="1" applyFill="1" applyBorder="1" applyAlignment="1">
      <alignment vertical="center" wrapText="1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>
      <alignment vertical="center"/>
    </xf>
    <xf numFmtId="41" fontId="0" fillId="7" borderId="4" xfId="1" applyFont="1" applyFill="1" applyBorder="1">
      <alignment vertical="center"/>
    </xf>
    <xf numFmtId="41" fontId="0" fillId="7" borderId="2" xfId="1" quotePrefix="1" applyFont="1" applyFill="1" applyBorder="1">
      <alignment vertical="center"/>
    </xf>
    <xf numFmtId="176" fontId="0" fillId="7" borderId="4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3004-515C-49B1-8B21-EEFB03B4A52A}">
  <dimension ref="A1:O87"/>
  <sheetViews>
    <sheetView tabSelected="1" topLeftCell="A17" zoomScaleNormal="100" workbookViewId="0">
      <selection activeCell="D36" sqref="D36"/>
    </sheetView>
  </sheetViews>
  <sheetFormatPr defaultRowHeight="16.5" x14ac:dyDescent="0.3"/>
  <cols>
    <col min="2" max="2" width="16.375" customWidth="1"/>
    <col min="3" max="3" width="44.375" style="3" hidden="1" customWidth="1"/>
    <col min="4" max="4" width="36" customWidth="1"/>
    <col min="5" max="5" width="27.125" customWidth="1"/>
    <col min="6" max="6" width="9" style="2" customWidth="1"/>
    <col min="7" max="7" width="29" customWidth="1"/>
    <col min="8" max="8" width="1.125" customWidth="1"/>
    <col min="9" max="11" width="12.125" style="1" customWidth="1"/>
    <col min="12" max="12" width="14.625" style="25" customWidth="1"/>
    <col min="13" max="13" width="22.25" style="25" customWidth="1"/>
    <col min="14" max="14" width="8.75" style="2"/>
  </cols>
  <sheetData>
    <row r="1" spans="1:14" ht="31.5" x14ac:dyDescent="0.3">
      <c r="C1" s="24" t="s">
        <v>279</v>
      </c>
    </row>
    <row r="2" spans="1:14" ht="17.25" thickBot="1" x14ac:dyDescent="0.35">
      <c r="F2" s="2" t="s">
        <v>278</v>
      </c>
      <c r="G2">
        <v>12</v>
      </c>
      <c r="H2" s="75">
        <f ca="1">NOW()</f>
        <v>46247.41938796296</v>
      </c>
      <c r="I2" s="75"/>
      <c r="J2" s="75"/>
      <c r="K2" s="75"/>
      <c r="L2" s="75"/>
      <c r="M2" s="23"/>
    </row>
    <row r="3" spans="1:14" s="17" customFormat="1" ht="28.5" customHeight="1" thickBot="1" x14ac:dyDescent="0.35">
      <c r="A3" s="22"/>
      <c r="B3" s="18" t="s">
        <v>277</v>
      </c>
      <c r="C3" s="21" t="s">
        <v>276</v>
      </c>
      <c r="D3" s="18" t="s">
        <v>275</v>
      </c>
      <c r="E3" s="18" t="s">
        <v>274</v>
      </c>
      <c r="F3" s="20" t="s">
        <v>273</v>
      </c>
      <c r="G3" s="18" t="s">
        <v>272</v>
      </c>
      <c r="H3" s="18" t="s">
        <v>271</v>
      </c>
      <c r="I3" s="19" t="s">
        <v>270</v>
      </c>
      <c r="J3" s="19" t="s">
        <v>269</v>
      </c>
      <c r="K3" s="19" t="s">
        <v>280</v>
      </c>
      <c r="L3" s="26" t="s">
        <v>268</v>
      </c>
      <c r="M3" s="57"/>
      <c r="N3" s="29" t="s">
        <v>282</v>
      </c>
    </row>
    <row r="4" spans="1:14" s="39" customFormat="1" ht="83.25" thickTop="1" x14ac:dyDescent="0.3">
      <c r="A4" s="30">
        <v>1</v>
      </c>
      <c r="B4" s="31" t="s">
        <v>267</v>
      </c>
      <c r="C4" s="32" t="s">
        <v>266</v>
      </c>
      <c r="D4" s="31" t="s">
        <v>281</v>
      </c>
      <c r="E4" s="33"/>
      <c r="F4" s="34">
        <v>36</v>
      </c>
      <c r="G4" s="31"/>
      <c r="H4" s="33"/>
      <c r="I4" s="35">
        <v>200</v>
      </c>
      <c r="J4" s="36">
        <f t="shared" ref="J4:J35" si="0">-((($G$2)*F4)-I4)</f>
        <v>-232</v>
      </c>
      <c r="K4" s="36">
        <v>900</v>
      </c>
      <c r="L4" s="37">
        <v>81</v>
      </c>
      <c r="M4" s="58">
        <f>K4*L4</f>
        <v>72900</v>
      </c>
      <c r="N4" s="38" t="s">
        <v>283</v>
      </c>
    </row>
    <row r="5" spans="1:14" hidden="1" x14ac:dyDescent="0.3">
      <c r="A5" s="11">
        <v>2</v>
      </c>
      <c r="B5" s="12" t="s">
        <v>265</v>
      </c>
      <c r="C5" s="15" t="s">
        <v>264</v>
      </c>
      <c r="D5" s="12" t="s">
        <v>263</v>
      </c>
      <c r="E5" s="12"/>
      <c r="F5" s="14">
        <v>1</v>
      </c>
      <c r="G5" s="12" t="s">
        <v>262</v>
      </c>
      <c r="H5" s="12" t="s">
        <v>261</v>
      </c>
      <c r="I5" s="13">
        <v>1000</v>
      </c>
      <c r="J5" s="7">
        <f t="shared" si="0"/>
        <v>988</v>
      </c>
      <c r="K5" s="7"/>
      <c r="L5" s="27"/>
      <c r="M5" s="58">
        <f t="shared" ref="M5:M68" si="1">K5*L5</f>
        <v>0</v>
      </c>
    </row>
    <row r="6" spans="1:14" s="39" customFormat="1" x14ac:dyDescent="0.3">
      <c r="A6" s="30">
        <v>3</v>
      </c>
      <c r="B6" s="31" t="s">
        <v>247</v>
      </c>
      <c r="C6" s="32" t="s">
        <v>260</v>
      </c>
      <c r="D6" s="31" t="s">
        <v>284</v>
      </c>
      <c r="E6" s="33" t="s">
        <v>253</v>
      </c>
      <c r="F6" s="34">
        <v>6</v>
      </c>
      <c r="G6" s="31" t="s">
        <v>259</v>
      </c>
      <c r="H6" s="31" t="s">
        <v>6</v>
      </c>
      <c r="I6" s="40"/>
      <c r="J6" s="36">
        <f t="shared" si="0"/>
        <v>-72</v>
      </c>
      <c r="K6" s="36">
        <v>4000</v>
      </c>
      <c r="L6" s="41">
        <v>23</v>
      </c>
      <c r="M6" s="58">
        <f t="shared" si="1"/>
        <v>92000</v>
      </c>
      <c r="N6" s="38" t="s">
        <v>283</v>
      </c>
    </row>
    <row r="7" spans="1:14" hidden="1" x14ac:dyDescent="0.3">
      <c r="A7" s="11">
        <v>4</v>
      </c>
      <c r="B7" s="12" t="s">
        <v>247</v>
      </c>
      <c r="C7" s="15" t="s">
        <v>258</v>
      </c>
      <c r="D7" s="12" t="s">
        <v>257</v>
      </c>
      <c r="E7" s="12" t="s">
        <v>256</v>
      </c>
      <c r="F7" s="14">
        <v>2</v>
      </c>
      <c r="G7" s="12" t="s">
        <v>252</v>
      </c>
      <c r="H7" s="12" t="s">
        <v>6</v>
      </c>
      <c r="I7" s="13">
        <v>4000</v>
      </c>
      <c r="J7" s="7">
        <f t="shared" si="0"/>
        <v>3976</v>
      </c>
      <c r="K7" s="7"/>
      <c r="L7" s="27"/>
      <c r="M7" s="58">
        <f t="shared" si="1"/>
        <v>0</v>
      </c>
    </row>
    <row r="8" spans="1:14" ht="115.5" hidden="1" x14ac:dyDescent="0.3">
      <c r="A8" s="11">
        <v>5</v>
      </c>
      <c r="B8" s="12" t="s">
        <v>247</v>
      </c>
      <c r="C8" s="15" t="s">
        <v>255</v>
      </c>
      <c r="D8" s="12" t="s">
        <v>254</v>
      </c>
      <c r="E8" s="16" t="s">
        <v>253</v>
      </c>
      <c r="F8" s="14">
        <v>19</v>
      </c>
      <c r="G8" s="12" t="s">
        <v>252</v>
      </c>
      <c r="H8" s="12" t="s">
        <v>6</v>
      </c>
      <c r="I8" s="13">
        <v>5000</v>
      </c>
      <c r="J8" s="7">
        <f t="shared" si="0"/>
        <v>4772</v>
      </c>
      <c r="K8" s="7"/>
      <c r="L8" s="27"/>
      <c r="M8" s="58">
        <f t="shared" si="1"/>
        <v>0</v>
      </c>
    </row>
    <row r="9" spans="1:14" s="39" customFormat="1" x14ac:dyDescent="0.3">
      <c r="A9" s="30">
        <v>6</v>
      </c>
      <c r="B9" s="31" t="s">
        <v>247</v>
      </c>
      <c r="C9" s="32" t="s">
        <v>251</v>
      </c>
      <c r="D9" s="31" t="s">
        <v>285</v>
      </c>
      <c r="E9" s="33" t="s">
        <v>250</v>
      </c>
      <c r="F9" s="34">
        <v>5</v>
      </c>
      <c r="G9" s="31" t="s">
        <v>249</v>
      </c>
      <c r="H9" s="31" t="s">
        <v>248</v>
      </c>
      <c r="I9" s="40"/>
      <c r="J9" s="36">
        <f t="shared" si="0"/>
        <v>-60</v>
      </c>
      <c r="K9" s="36">
        <v>4000</v>
      </c>
      <c r="L9" s="41">
        <v>2.6</v>
      </c>
      <c r="M9" s="58">
        <f t="shared" si="1"/>
        <v>10400</v>
      </c>
      <c r="N9" s="38" t="s">
        <v>287</v>
      </c>
    </row>
    <row r="10" spans="1:14" s="39" customFormat="1" x14ac:dyDescent="0.3">
      <c r="A10" s="30">
        <v>7</v>
      </c>
      <c r="B10" s="31" t="s">
        <v>247</v>
      </c>
      <c r="C10" s="32" t="s">
        <v>246</v>
      </c>
      <c r="D10" s="33" t="s">
        <v>245</v>
      </c>
      <c r="E10" s="33" t="s">
        <v>244</v>
      </c>
      <c r="F10" s="34">
        <v>2</v>
      </c>
      <c r="G10" s="31" t="s">
        <v>243</v>
      </c>
      <c r="H10" s="33"/>
      <c r="I10" s="35"/>
      <c r="J10" s="36">
        <f t="shared" si="0"/>
        <v>-24</v>
      </c>
      <c r="K10" s="36">
        <v>70</v>
      </c>
      <c r="L10" s="37">
        <v>550</v>
      </c>
      <c r="M10" s="58">
        <f t="shared" si="1"/>
        <v>38500</v>
      </c>
      <c r="N10" s="38" t="s">
        <v>286</v>
      </c>
    </row>
    <row r="11" spans="1:14" s="39" customFormat="1" x14ac:dyDescent="0.3">
      <c r="A11" s="30">
        <v>8</v>
      </c>
      <c r="B11" s="31" t="s">
        <v>234</v>
      </c>
      <c r="C11" s="32" t="s">
        <v>242</v>
      </c>
      <c r="D11" s="31" t="s">
        <v>241</v>
      </c>
      <c r="E11" s="31" t="s">
        <v>231</v>
      </c>
      <c r="F11" s="34">
        <v>3</v>
      </c>
      <c r="G11" s="31" t="s">
        <v>240</v>
      </c>
      <c r="H11" s="31" t="s">
        <v>6</v>
      </c>
      <c r="I11" s="40"/>
      <c r="J11" s="36">
        <f t="shared" si="0"/>
        <v>-36</v>
      </c>
      <c r="K11" s="36">
        <v>100</v>
      </c>
      <c r="L11" s="41">
        <v>80</v>
      </c>
      <c r="M11" s="58">
        <f t="shared" si="1"/>
        <v>8000</v>
      </c>
      <c r="N11" s="38" t="s">
        <v>283</v>
      </c>
    </row>
    <row r="12" spans="1:14" s="39" customFormat="1" x14ac:dyDescent="0.3">
      <c r="A12" s="30">
        <v>9</v>
      </c>
      <c r="B12" s="31" t="s">
        <v>234</v>
      </c>
      <c r="C12" s="32" t="s">
        <v>239</v>
      </c>
      <c r="D12" s="31" t="s">
        <v>238</v>
      </c>
      <c r="E12" s="31" t="s">
        <v>237</v>
      </c>
      <c r="F12" s="34">
        <v>3</v>
      </c>
      <c r="G12" s="31" t="s">
        <v>236</v>
      </c>
      <c r="H12" s="31" t="s">
        <v>235</v>
      </c>
      <c r="I12" s="40"/>
      <c r="J12" s="36">
        <f t="shared" si="0"/>
        <v>-36</v>
      </c>
      <c r="K12" s="36">
        <v>100</v>
      </c>
      <c r="L12" s="41">
        <v>160</v>
      </c>
      <c r="M12" s="58">
        <f t="shared" si="1"/>
        <v>16000</v>
      </c>
      <c r="N12" s="38" t="s">
        <v>283</v>
      </c>
    </row>
    <row r="13" spans="1:14" s="39" customFormat="1" x14ac:dyDescent="0.3">
      <c r="A13" s="30">
        <v>10</v>
      </c>
      <c r="B13" s="31" t="s">
        <v>234</v>
      </c>
      <c r="C13" s="32" t="s">
        <v>233</v>
      </c>
      <c r="D13" s="31" t="s">
        <v>232</v>
      </c>
      <c r="E13" s="31" t="s">
        <v>231</v>
      </c>
      <c r="F13" s="34">
        <v>3</v>
      </c>
      <c r="G13" s="31" t="s">
        <v>230</v>
      </c>
      <c r="H13" s="31" t="s">
        <v>229</v>
      </c>
      <c r="I13" s="40"/>
      <c r="J13" s="36">
        <f t="shared" si="0"/>
        <v>-36</v>
      </c>
      <c r="K13" s="36">
        <v>100</v>
      </c>
      <c r="L13" s="41">
        <v>85</v>
      </c>
      <c r="M13" s="58">
        <f t="shared" si="1"/>
        <v>8500</v>
      </c>
      <c r="N13" s="38" t="s">
        <v>283</v>
      </c>
    </row>
    <row r="14" spans="1:14" s="39" customFormat="1" x14ac:dyDescent="0.3">
      <c r="A14" s="30">
        <v>11</v>
      </c>
      <c r="B14" s="31" t="s">
        <v>228</v>
      </c>
      <c r="C14" s="32" t="s">
        <v>227</v>
      </c>
      <c r="D14" s="31" t="s">
        <v>288</v>
      </c>
      <c r="E14" s="31"/>
      <c r="F14" s="34">
        <v>7</v>
      </c>
      <c r="G14" s="31" t="s">
        <v>226</v>
      </c>
      <c r="H14" s="31" t="s">
        <v>225</v>
      </c>
      <c r="I14" s="40">
        <v>0</v>
      </c>
      <c r="J14" s="36">
        <f t="shared" si="0"/>
        <v>-84</v>
      </c>
      <c r="K14" s="36">
        <v>210</v>
      </c>
      <c r="L14" s="41">
        <v>370</v>
      </c>
      <c r="M14" s="58">
        <f t="shared" si="1"/>
        <v>77700</v>
      </c>
      <c r="N14" s="38" t="s">
        <v>289</v>
      </c>
    </row>
    <row r="15" spans="1:14" ht="33" hidden="1" x14ac:dyDescent="0.3">
      <c r="A15" s="11">
        <v>12</v>
      </c>
      <c r="B15" s="12" t="s">
        <v>224</v>
      </c>
      <c r="C15" s="15" t="s">
        <v>223</v>
      </c>
      <c r="D15" s="12" t="s">
        <v>222</v>
      </c>
      <c r="E15" s="12"/>
      <c r="F15" s="14">
        <v>15</v>
      </c>
      <c r="G15" s="12" t="s">
        <v>111</v>
      </c>
      <c r="H15" s="12" t="s">
        <v>221</v>
      </c>
      <c r="I15" s="13">
        <v>3000</v>
      </c>
      <c r="J15" s="7">
        <f t="shared" si="0"/>
        <v>2820</v>
      </c>
      <c r="K15" s="7"/>
      <c r="L15" s="27"/>
      <c r="M15" s="58">
        <f t="shared" si="1"/>
        <v>0</v>
      </c>
    </row>
    <row r="16" spans="1:14" ht="49.5" hidden="1" x14ac:dyDescent="0.3">
      <c r="A16" s="11">
        <v>13</v>
      </c>
      <c r="B16" s="12" t="s">
        <v>220</v>
      </c>
      <c r="C16" s="15" t="s">
        <v>219</v>
      </c>
      <c r="D16" s="12" t="s">
        <v>218</v>
      </c>
      <c r="E16" s="12"/>
      <c r="F16" s="14">
        <v>19</v>
      </c>
      <c r="G16" s="12" t="s">
        <v>217</v>
      </c>
      <c r="H16" s="12" t="s">
        <v>216</v>
      </c>
      <c r="I16" s="13">
        <v>3000</v>
      </c>
      <c r="J16" s="7">
        <f t="shared" si="0"/>
        <v>2772</v>
      </c>
      <c r="K16" s="7"/>
      <c r="L16" s="27"/>
      <c r="M16" s="58">
        <f t="shared" si="1"/>
        <v>0</v>
      </c>
    </row>
    <row r="17" spans="1:15" s="69" customFormat="1" x14ac:dyDescent="0.3">
      <c r="A17" s="59">
        <v>14</v>
      </c>
      <c r="B17" s="60" t="s">
        <v>215</v>
      </c>
      <c r="C17" s="61" t="s">
        <v>214</v>
      </c>
      <c r="D17" s="60" t="s">
        <v>322</v>
      </c>
      <c r="E17" s="60"/>
      <c r="F17" s="63">
        <v>1</v>
      </c>
      <c r="G17" s="60" t="s">
        <v>213</v>
      </c>
      <c r="H17" s="60" t="s">
        <v>212</v>
      </c>
      <c r="I17" s="64">
        <v>0</v>
      </c>
      <c r="J17" s="65">
        <f t="shared" si="0"/>
        <v>-12</v>
      </c>
      <c r="K17" s="65"/>
      <c r="L17" s="66"/>
      <c r="M17" s="67">
        <f t="shared" si="1"/>
        <v>0</v>
      </c>
      <c r="N17" s="74" t="s">
        <v>290</v>
      </c>
    </row>
    <row r="18" spans="1:15" s="39" customFormat="1" x14ac:dyDescent="0.3">
      <c r="A18" s="30">
        <v>15</v>
      </c>
      <c r="B18" s="31" t="s">
        <v>211</v>
      </c>
      <c r="C18" s="32" t="s">
        <v>210</v>
      </c>
      <c r="D18" s="31" t="s">
        <v>209</v>
      </c>
      <c r="E18" s="31"/>
      <c r="F18" s="34">
        <v>3</v>
      </c>
      <c r="G18" s="31" t="s">
        <v>291</v>
      </c>
      <c r="H18" s="31" t="s">
        <v>208</v>
      </c>
      <c r="I18" s="40">
        <v>0</v>
      </c>
      <c r="J18" s="36">
        <f t="shared" si="0"/>
        <v>-36</v>
      </c>
      <c r="K18" s="36">
        <v>100</v>
      </c>
      <c r="L18" s="41">
        <v>240</v>
      </c>
      <c r="M18" s="58">
        <f t="shared" si="1"/>
        <v>24000</v>
      </c>
      <c r="N18" s="38" t="s">
        <v>287</v>
      </c>
    </row>
    <row r="19" spans="1:15" ht="66" hidden="1" x14ac:dyDescent="0.3">
      <c r="A19" s="11">
        <v>16</v>
      </c>
      <c r="B19" s="12" t="s">
        <v>207</v>
      </c>
      <c r="C19" s="15" t="s">
        <v>206</v>
      </c>
      <c r="D19" s="16" t="s">
        <v>205</v>
      </c>
      <c r="E19" s="16" t="s">
        <v>204</v>
      </c>
      <c r="F19" s="14">
        <v>22</v>
      </c>
      <c r="G19" s="12" t="s">
        <v>199</v>
      </c>
      <c r="H19" s="12" t="s">
        <v>6</v>
      </c>
      <c r="I19" s="13">
        <v>5000</v>
      </c>
      <c r="J19" s="7">
        <f t="shared" si="0"/>
        <v>4736</v>
      </c>
      <c r="K19" s="7"/>
      <c r="L19" s="27"/>
      <c r="M19" s="58">
        <f t="shared" si="1"/>
        <v>0</v>
      </c>
    </row>
    <row r="20" spans="1:15" hidden="1" x14ac:dyDescent="0.3">
      <c r="A20" s="11">
        <v>17</v>
      </c>
      <c r="B20" s="12" t="s">
        <v>203</v>
      </c>
      <c r="C20" s="15" t="s">
        <v>202</v>
      </c>
      <c r="D20" s="16" t="s">
        <v>201</v>
      </c>
      <c r="E20" s="16" t="s">
        <v>200</v>
      </c>
      <c r="F20" s="14">
        <v>5</v>
      </c>
      <c r="G20" s="12" t="s">
        <v>199</v>
      </c>
      <c r="H20" s="12"/>
      <c r="I20" s="13">
        <v>5000</v>
      </c>
      <c r="J20" s="7">
        <f t="shared" si="0"/>
        <v>4940</v>
      </c>
      <c r="K20" s="7"/>
      <c r="L20" s="27"/>
      <c r="M20" s="58">
        <f t="shared" si="1"/>
        <v>0</v>
      </c>
    </row>
    <row r="21" spans="1:15" s="39" customFormat="1" x14ac:dyDescent="0.3">
      <c r="A21" s="30">
        <v>18</v>
      </c>
      <c r="B21" s="31" t="s">
        <v>175</v>
      </c>
      <c r="C21" s="32" t="s">
        <v>198</v>
      </c>
      <c r="D21" s="31" t="s">
        <v>197</v>
      </c>
      <c r="E21" s="31"/>
      <c r="F21" s="34">
        <v>8</v>
      </c>
      <c r="G21" s="31" t="s">
        <v>172</v>
      </c>
      <c r="H21" s="31" t="s">
        <v>6</v>
      </c>
      <c r="I21" s="40">
        <v>0</v>
      </c>
      <c r="J21" s="36">
        <f t="shared" si="0"/>
        <v>-96</v>
      </c>
      <c r="K21" s="36">
        <v>5000</v>
      </c>
      <c r="L21" s="41">
        <v>0.86</v>
      </c>
      <c r="M21" s="58">
        <f t="shared" si="1"/>
        <v>4300</v>
      </c>
      <c r="N21" s="38" t="s">
        <v>287</v>
      </c>
    </row>
    <row r="22" spans="1:15" s="39" customFormat="1" ht="66" x14ac:dyDescent="0.3">
      <c r="A22" s="30">
        <v>19</v>
      </c>
      <c r="B22" s="31" t="s">
        <v>175</v>
      </c>
      <c r="C22" s="32" t="s">
        <v>196</v>
      </c>
      <c r="D22" s="31" t="s">
        <v>195</v>
      </c>
      <c r="E22" s="31"/>
      <c r="F22" s="34">
        <v>30</v>
      </c>
      <c r="G22" s="31" t="s">
        <v>172</v>
      </c>
      <c r="H22" s="31" t="s">
        <v>6</v>
      </c>
      <c r="I22" s="40">
        <v>0</v>
      </c>
      <c r="J22" s="36">
        <f t="shared" si="0"/>
        <v>-360</v>
      </c>
      <c r="K22" s="36">
        <v>5000</v>
      </c>
      <c r="L22" s="41">
        <v>0.73</v>
      </c>
      <c r="M22" s="58">
        <f t="shared" si="1"/>
        <v>3650</v>
      </c>
      <c r="N22" s="38" t="s">
        <v>287</v>
      </c>
      <c r="O22" s="42" t="s">
        <v>292</v>
      </c>
    </row>
    <row r="23" spans="1:15" s="39" customFormat="1" x14ac:dyDescent="0.3">
      <c r="A23" s="30">
        <v>20</v>
      </c>
      <c r="B23" s="31" t="s">
        <v>175</v>
      </c>
      <c r="C23" s="32" t="s">
        <v>194</v>
      </c>
      <c r="D23" s="31" t="s">
        <v>193</v>
      </c>
      <c r="E23" s="31"/>
      <c r="F23" s="34">
        <v>2</v>
      </c>
      <c r="G23" s="31" t="s">
        <v>172</v>
      </c>
      <c r="H23" s="31" t="s">
        <v>6</v>
      </c>
      <c r="I23" s="40">
        <v>0</v>
      </c>
      <c r="J23" s="36">
        <f t="shared" si="0"/>
        <v>-24</v>
      </c>
      <c r="K23" s="36">
        <v>5000</v>
      </c>
      <c r="L23" s="41">
        <v>0.86</v>
      </c>
      <c r="M23" s="58">
        <f t="shared" si="1"/>
        <v>4300</v>
      </c>
      <c r="N23" s="38" t="s">
        <v>287</v>
      </c>
    </row>
    <row r="24" spans="1:15" ht="33" hidden="1" x14ac:dyDescent="0.3">
      <c r="A24" s="11">
        <v>21</v>
      </c>
      <c r="B24" s="12" t="s">
        <v>175</v>
      </c>
      <c r="C24" s="15" t="s">
        <v>192</v>
      </c>
      <c r="D24" s="12" t="s">
        <v>191</v>
      </c>
      <c r="E24" s="12"/>
      <c r="F24" s="14">
        <v>15</v>
      </c>
      <c r="G24" s="12" t="s">
        <v>172</v>
      </c>
      <c r="H24" s="12" t="s">
        <v>6</v>
      </c>
      <c r="I24" s="13">
        <v>5000</v>
      </c>
      <c r="J24" s="7">
        <f t="shared" si="0"/>
        <v>4820</v>
      </c>
      <c r="K24" s="7"/>
      <c r="L24" s="27"/>
      <c r="M24" s="58">
        <f t="shared" si="1"/>
        <v>0</v>
      </c>
    </row>
    <row r="25" spans="1:15" s="39" customFormat="1" ht="66" x14ac:dyDescent="0.3">
      <c r="A25" s="30">
        <v>22</v>
      </c>
      <c r="B25" s="31" t="s">
        <v>175</v>
      </c>
      <c r="C25" s="32" t="s">
        <v>190</v>
      </c>
      <c r="D25" s="31" t="s">
        <v>189</v>
      </c>
      <c r="E25" s="31"/>
      <c r="F25" s="34">
        <v>26</v>
      </c>
      <c r="G25" s="31" t="s">
        <v>172</v>
      </c>
      <c r="H25" s="31" t="s">
        <v>6</v>
      </c>
      <c r="I25" s="40">
        <v>0</v>
      </c>
      <c r="J25" s="36">
        <f t="shared" si="0"/>
        <v>-312</v>
      </c>
      <c r="K25" s="36">
        <v>5000</v>
      </c>
      <c r="L25" s="41">
        <v>0.73</v>
      </c>
      <c r="M25" s="58">
        <f t="shared" si="1"/>
        <v>3650</v>
      </c>
      <c r="N25" s="38" t="s">
        <v>287</v>
      </c>
    </row>
    <row r="26" spans="1:15" hidden="1" x14ac:dyDescent="0.3">
      <c r="A26" s="11">
        <v>23</v>
      </c>
      <c r="B26" s="12" t="s">
        <v>175</v>
      </c>
      <c r="C26" s="15" t="s">
        <v>188</v>
      </c>
      <c r="D26" s="12" t="s">
        <v>168</v>
      </c>
      <c r="E26" s="12"/>
      <c r="F26" s="14">
        <v>1</v>
      </c>
      <c r="G26" s="12" t="s">
        <v>172</v>
      </c>
      <c r="H26" s="12" t="s">
        <v>6</v>
      </c>
      <c r="I26" s="13">
        <v>2000</v>
      </c>
      <c r="J26" s="7">
        <f t="shared" si="0"/>
        <v>1988</v>
      </c>
      <c r="K26" s="7"/>
      <c r="L26" s="27"/>
      <c r="M26" s="58">
        <f t="shared" si="1"/>
        <v>0</v>
      </c>
    </row>
    <row r="27" spans="1:15" hidden="1" x14ac:dyDescent="0.3">
      <c r="A27" s="11">
        <v>24</v>
      </c>
      <c r="B27" s="12" t="s">
        <v>175</v>
      </c>
      <c r="C27" s="15" t="s">
        <v>187</v>
      </c>
      <c r="D27" s="12" t="s">
        <v>186</v>
      </c>
      <c r="E27" s="12"/>
      <c r="F27" s="14">
        <v>7</v>
      </c>
      <c r="G27" s="12" t="s">
        <v>172</v>
      </c>
      <c r="H27" s="12" t="s">
        <v>6</v>
      </c>
      <c r="I27" s="13">
        <v>3000</v>
      </c>
      <c r="J27" s="7">
        <f t="shared" si="0"/>
        <v>2916</v>
      </c>
      <c r="K27" s="7"/>
      <c r="L27" s="27"/>
      <c r="M27" s="58">
        <f t="shared" si="1"/>
        <v>0</v>
      </c>
    </row>
    <row r="28" spans="1:15" ht="49.5" hidden="1" x14ac:dyDescent="0.3">
      <c r="A28" s="11">
        <v>25</v>
      </c>
      <c r="B28" s="12" t="s">
        <v>175</v>
      </c>
      <c r="C28" s="15" t="s">
        <v>185</v>
      </c>
      <c r="D28" s="12" t="s">
        <v>184</v>
      </c>
      <c r="E28" s="12"/>
      <c r="F28" s="14">
        <v>19</v>
      </c>
      <c r="G28" s="12" t="s">
        <v>172</v>
      </c>
      <c r="H28" s="12" t="s">
        <v>6</v>
      </c>
      <c r="I28" s="13">
        <v>3000</v>
      </c>
      <c r="J28" s="7">
        <f t="shared" si="0"/>
        <v>2772</v>
      </c>
      <c r="K28" s="7"/>
      <c r="L28" s="27"/>
      <c r="M28" s="58">
        <f t="shared" si="1"/>
        <v>0</v>
      </c>
    </row>
    <row r="29" spans="1:15" hidden="1" x14ac:dyDescent="0.3">
      <c r="A29" s="11">
        <v>26</v>
      </c>
      <c r="B29" s="12" t="s">
        <v>175</v>
      </c>
      <c r="C29" s="15" t="s">
        <v>183</v>
      </c>
      <c r="D29" s="12" t="s">
        <v>182</v>
      </c>
      <c r="E29" s="12"/>
      <c r="F29" s="14">
        <v>5</v>
      </c>
      <c r="G29" s="12" t="s">
        <v>172</v>
      </c>
      <c r="H29" s="12" t="s">
        <v>6</v>
      </c>
      <c r="I29" s="13">
        <v>3000</v>
      </c>
      <c r="J29" s="7">
        <f t="shared" si="0"/>
        <v>2940</v>
      </c>
      <c r="K29" s="7"/>
      <c r="L29" s="27"/>
      <c r="M29" s="58">
        <f t="shared" si="1"/>
        <v>0</v>
      </c>
    </row>
    <row r="30" spans="1:15" ht="132" hidden="1" x14ac:dyDescent="0.3">
      <c r="A30" s="11">
        <v>27</v>
      </c>
      <c r="B30" s="12" t="s">
        <v>175</v>
      </c>
      <c r="C30" s="15" t="s">
        <v>181</v>
      </c>
      <c r="D30" s="12" t="s">
        <v>180</v>
      </c>
      <c r="E30" s="12"/>
      <c r="F30" s="14">
        <v>66</v>
      </c>
      <c r="G30" s="12" t="s">
        <v>172</v>
      </c>
      <c r="H30" s="12" t="s">
        <v>6</v>
      </c>
      <c r="I30" s="13">
        <v>5000</v>
      </c>
      <c r="J30" s="7">
        <f t="shared" si="0"/>
        <v>4208</v>
      </c>
      <c r="K30" s="7"/>
      <c r="L30" s="27"/>
      <c r="M30" s="58">
        <f t="shared" si="1"/>
        <v>0</v>
      </c>
    </row>
    <row r="31" spans="1:15" hidden="1" x14ac:dyDescent="0.3">
      <c r="A31" s="11">
        <v>28</v>
      </c>
      <c r="B31" s="12" t="s">
        <v>175</v>
      </c>
      <c r="C31" s="15" t="s">
        <v>179</v>
      </c>
      <c r="D31" s="12" t="s">
        <v>178</v>
      </c>
      <c r="E31" s="12"/>
      <c r="F31" s="14">
        <v>1</v>
      </c>
      <c r="G31" s="12" t="s">
        <v>172</v>
      </c>
      <c r="H31" s="12" t="s">
        <v>6</v>
      </c>
      <c r="I31" s="13">
        <v>3000</v>
      </c>
      <c r="J31" s="7">
        <f t="shared" si="0"/>
        <v>2988</v>
      </c>
      <c r="K31" s="7"/>
      <c r="L31" s="27"/>
      <c r="M31" s="58">
        <f t="shared" si="1"/>
        <v>0</v>
      </c>
    </row>
    <row r="32" spans="1:15" s="39" customFormat="1" x14ac:dyDescent="0.3">
      <c r="A32" s="30">
        <v>29</v>
      </c>
      <c r="B32" s="31" t="s">
        <v>175</v>
      </c>
      <c r="C32" s="32" t="s">
        <v>177</v>
      </c>
      <c r="D32" s="31" t="s">
        <v>176</v>
      </c>
      <c r="E32" s="31"/>
      <c r="F32" s="34">
        <v>2</v>
      </c>
      <c r="G32" s="31" t="s">
        <v>160</v>
      </c>
      <c r="H32" s="31" t="s">
        <v>6</v>
      </c>
      <c r="I32" s="40">
        <v>0</v>
      </c>
      <c r="J32" s="36">
        <f t="shared" si="0"/>
        <v>-24</v>
      </c>
      <c r="K32" s="36">
        <v>5000</v>
      </c>
      <c r="L32" s="41">
        <v>2.1</v>
      </c>
      <c r="M32" s="58">
        <f t="shared" si="1"/>
        <v>10500</v>
      </c>
      <c r="N32" s="38" t="s">
        <v>287</v>
      </c>
      <c r="O32" s="42" t="s">
        <v>292</v>
      </c>
    </row>
    <row r="33" spans="1:15" hidden="1" x14ac:dyDescent="0.3">
      <c r="A33" s="11">
        <v>30</v>
      </c>
      <c r="B33" s="12" t="s">
        <v>175</v>
      </c>
      <c r="C33" s="15" t="s">
        <v>174</v>
      </c>
      <c r="D33" s="12" t="s">
        <v>173</v>
      </c>
      <c r="E33" s="12"/>
      <c r="F33" s="14">
        <v>5</v>
      </c>
      <c r="G33" s="12" t="s">
        <v>172</v>
      </c>
      <c r="H33" s="12" t="s">
        <v>6</v>
      </c>
      <c r="I33" s="13">
        <v>5000</v>
      </c>
      <c r="J33" s="7">
        <f t="shared" si="0"/>
        <v>4940</v>
      </c>
      <c r="K33" s="7"/>
      <c r="L33" s="27"/>
      <c r="M33" s="58">
        <f t="shared" si="1"/>
        <v>0</v>
      </c>
    </row>
    <row r="34" spans="1:15" hidden="1" x14ac:dyDescent="0.3">
      <c r="A34" s="11">
        <v>31</v>
      </c>
      <c r="B34" s="12" t="s">
        <v>171</v>
      </c>
      <c r="C34" s="15" t="s">
        <v>170</v>
      </c>
      <c r="D34" s="12" t="s">
        <v>168</v>
      </c>
      <c r="E34" s="12"/>
      <c r="F34" s="14">
        <v>6</v>
      </c>
      <c r="G34" s="12" t="s">
        <v>169</v>
      </c>
      <c r="H34" s="12" t="s">
        <v>168</v>
      </c>
      <c r="I34" s="13">
        <v>3000</v>
      </c>
      <c r="J34" s="7">
        <f t="shared" si="0"/>
        <v>2928</v>
      </c>
      <c r="K34" s="7"/>
      <c r="L34" s="27"/>
      <c r="M34" s="58">
        <f t="shared" si="1"/>
        <v>0</v>
      </c>
    </row>
    <row r="35" spans="1:15" s="39" customFormat="1" ht="49.5" x14ac:dyDescent="0.3">
      <c r="A35" s="30">
        <v>32</v>
      </c>
      <c r="B35" s="31" t="s">
        <v>163</v>
      </c>
      <c r="C35" s="32" t="s">
        <v>167</v>
      </c>
      <c r="D35" s="31" t="s">
        <v>166</v>
      </c>
      <c r="E35" s="31"/>
      <c r="F35" s="34">
        <v>18</v>
      </c>
      <c r="G35" s="31" t="s">
        <v>160</v>
      </c>
      <c r="H35" s="31" t="s">
        <v>6</v>
      </c>
      <c r="I35" s="40">
        <v>0</v>
      </c>
      <c r="J35" s="36">
        <f t="shared" si="0"/>
        <v>-216</v>
      </c>
      <c r="K35" s="36">
        <v>5000</v>
      </c>
      <c r="L35" s="41">
        <v>2.1</v>
      </c>
      <c r="M35" s="58">
        <f t="shared" si="1"/>
        <v>10500</v>
      </c>
      <c r="N35" s="38" t="s">
        <v>287</v>
      </c>
      <c r="O35" s="42" t="s">
        <v>292</v>
      </c>
    </row>
    <row r="36" spans="1:15" s="39" customFormat="1" x14ac:dyDescent="0.3">
      <c r="A36" s="30">
        <v>33</v>
      </c>
      <c r="B36" s="31" t="s">
        <v>163</v>
      </c>
      <c r="C36" s="32" t="s">
        <v>165</v>
      </c>
      <c r="D36" s="31" t="s">
        <v>164</v>
      </c>
      <c r="E36" s="31"/>
      <c r="F36" s="34">
        <v>4</v>
      </c>
      <c r="G36" s="31" t="s">
        <v>160</v>
      </c>
      <c r="H36" s="31" t="s">
        <v>6</v>
      </c>
      <c r="I36" s="40">
        <v>0</v>
      </c>
      <c r="J36" s="36">
        <f t="shared" ref="J36:J67" si="2">-((($G$2)*F36)-I36)</f>
        <v>-48</v>
      </c>
      <c r="K36" s="36">
        <v>5000</v>
      </c>
      <c r="L36" s="41">
        <v>2.1</v>
      </c>
      <c r="M36" s="58">
        <f t="shared" si="1"/>
        <v>10500</v>
      </c>
      <c r="N36" s="38" t="s">
        <v>287</v>
      </c>
      <c r="O36" s="42" t="s">
        <v>292</v>
      </c>
    </row>
    <row r="37" spans="1:15" s="39" customFormat="1" x14ac:dyDescent="0.3">
      <c r="A37" s="30">
        <v>34</v>
      </c>
      <c r="B37" s="31" t="s">
        <v>163</v>
      </c>
      <c r="C37" s="32" t="s">
        <v>162</v>
      </c>
      <c r="D37" s="31" t="s">
        <v>161</v>
      </c>
      <c r="E37" s="31"/>
      <c r="F37" s="34">
        <v>4</v>
      </c>
      <c r="G37" s="31" t="s">
        <v>160</v>
      </c>
      <c r="H37" s="31" t="s">
        <v>6</v>
      </c>
      <c r="I37" s="40">
        <v>0</v>
      </c>
      <c r="J37" s="36">
        <f t="shared" si="2"/>
        <v>-48</v>
      </c>
      <c r="K37" s="36">
        <v>5000</v>
      </c>
      <c r="L37" s="41">
        <v>2.1</v>
      </c>
      <c r="M37" s="58">
        <f t="shared" si="1"/>
        <v>10500</v>
      </c>
      <c r="N37" s="38" t="s">
        <v>287</v>
      </c>
      <c r="O37" s="42" t="s">
        <v>292</v>
      </c>
    </row>
    <row r="38" spans="1:15" s="39" customFormat="1" x14ac:dyDescent="0.3">
      <c r="A38" s="30">
        <v>35</v>
      </c>
      <c r="B38" s="31" t="s">
        <v>134</v>
      </c>
      <c r="C38" s="32" t="s">
        <v>159</v>
      </c>
      <c r="D38" s="31" t="s">
        <v>158</v>
      </c>
      <c r="E38" s="31"/>
      <c r="F38" s="34">
        <v>1</v>
      </c>
      <c r="G38" s="31" t="s">
        <v>116</v>
      </c>
      <c r="H38" s="33"/>
      <c r="I38" s="35">
        <v>0</v>
      </c>
      <c r="J38" s="36">
        <f t="shared" si="2"/>
        <v>-12</v>
      </c>
      <c r="K38" s="36">
        <v>30</v>
      </c>
      <c r="L38" s="37">
        <v>9700</v>
      </c>
      <c r="M38" s="58">
        <f t="shared" si="1"/>
        <v>291000</v>
      </c>
      <c r="N38" s="38" t="s">
        <v>286</v>
      </c>
    </row>
    <row r="39" spans="1:15" s="39" customFormat="1" x14ac:dyDescent="0.3">
      <c r="A39" s="30">
        <v>36</v>
      </c>
      <c r="B39" s="31" t="s">
        <v>134</v>
      </c>
      <c r="C39" s="32" t="s">
        <v>157</v>
      </c>
      <c r="D39" s="31" t="s">
        <v>293</v>
      </c>
      <c r="E39" s="31"/>
      <c r="F39" s="34">
        <v>2</v>
      </c>
      <c r="G39" s="31" t="s">
        <v>156</v>
      </c>
      <c r="H39" s="33"/>
      <c r="I39" s="35">
        <v>0</v>
      </c>
      <c r="J39" s="36">
        <f t="shared" si="2"/>
        <v>-24</v>
      </c>
      <c r="K39" s="36">
        <v>60</v>
      </c>
      <c r="L39" s="37">
        <v>2480</v>
      </c>
      <c r="M39" s="58">
        <f t="shared" si="1"/>
        <v>148800</v>
      </c>
      <c r="N39" s="38" t="s">
        <v>283</v>
      </c>
    </row>
    <row r="40" spans="1:15" s="39" customFormat="1" x14ac:dyDescent="0.3">
      <c r="A40" s="84">
        <v>37</v>
      </c>
      <c r="B40" s="83" t="s">
        <v>134</v>
      </c>
      <c r="C40" s="85" t="s">
        <v>155</v>
      </c>
      <c r="D40" s="83" t="s">
        <v>323</v>
      </c>
      <c r="E40" s="83"/>
      <c r="F40" s="86">
        <v>1</v>
      </c>
      <c r="G40" s="83" t="s">
        <v>154</v>
      </c>
      <c r="H40" s="87"/>
      <c r="I40" s="88">
        <v>0</v>
      </c>
      <c r="J40" s="89">
        <f t="shared" si="2"/>
        <v>-12</v>
      </c>
      <c r="K40" s="89">
        <v>30</v>
      </c>
      <c r="L40" s="90">
        <v>10100</v>
      </c>
      <c r="M40" s="58">
        <f t="shared" si="1"/>
        <v>303000</v>
      </c>
      <c r="N40" s="38" t="s">
        <v>294</v>
      </c>
      <c r="O40" s="43" t="s">
        <v>295</v>
      </c>
    </row>
    <row r="41" spans="1:15" s="39" customFormat="1" x14ac:dyDescent="0.3">
      <c r="A41" s="30">
        <v>38</v>
      </c>
      <c r="B41" s="31" t="s">
        <v>134</v>
      </c>
      <c r="C41" s="32" t="s">
        <v>153</v>
      </c>
      <c r="D41" s="31" t="s">
        <v>152</v>
      </c>
      <c r="E41" s="31"/>
      <c r="F41" s="34">
        <v>6</v>
      </c>
      <c r="G41" s="31" t="s">
        <v>151</v>
      </c>
      <c r="H41" s="33"/>
      <c r="I41" s="35">
        <v>0</v>
      </c>
      <c r="J41" s="36">
        <f t="shared" si="2"/>
        <v>-72</v>
      </c>
      <c r="K41" s="36">
        <v>180</v>
      </c>
      <c r="L41" s="37">
        <v>7220</v>
      </c>
      <c r="M41" s="58">
        <f t="shared" si="1"/>
        <v>1299600</v>
      </c>
      <c r="N41" s="38" t="s">
        <v>296</v>
      </c>
    </row>
    <row r="42" spans="1:15" s="39" customFormat="1" x14ac:dyDescent="0.3">
      <c r="A42" s="30">
        <v>39</v>
      </c>
      <c r="B42" s="31" t="s">
        <v>134</v>
      </c>
      <c r="C42" s="32" t="s">
        <v>150</v>
      </c>
      <c r="D42" s="31" t="s">
        <v>297</v>
      </c>
      <c r="E42" s="31"/>
      <c r="F42" s="34">
        <v>1</v>
      </c>
      <c r="G42" s="31" t="s">
        <v>149</v>
      </c>
      <c r="H42" s="33"/>
      <c r="I42" s="35">
        <v>0</v>
      </c>
      <c r="J42" s="36">
        <f t="shared" si="2"/>
        <v>-12</v>
      </c>
      <c r="K42" s="36">
        <v>30</v>
      </c>
      <c r="L42" s="37">
        <v>4490</v>
      </c>
      <c r="M42" s="58">
        <f t="shared" si="1"/>
        <v>134700</v>
      </c>
      <c r="N42" s="38" t="s">
        <v>289</v>
      </c>
    </row>
    <row r="43" spans="1:15" s="39" customFormat="1" x14ac:dyDescent="0.3">
      <c r="A43" s="30">
        <v>40</v>
      </c>
      <c r="B43" s="31" t="s">
        <v>134</v>
      </c>
      <c r="C43" s="32" t="s">
        <v>148</v>
      </c>
      <c r="D43" s="31" t="s">
        <v>147</v>
      </c>
      <c r="E43" s="31"/>
      <c r="F43" s="34">
        <v>1</v>
      </c>
      <c r="G43" s="31" t="s">
        <v>146</v>
      </c>
      <c r="H43" s="33"/>
      <c r="I43" s="35">
        <v>0</v>
      </c>
      <c r="J43" s="36">
        <f t="shared" si="2"/>
        <v>-12</v>
      </c>
      <c r="K43" s="36">
        <v>30</v>
      </c>
      <c r="L43" s="37">
        <v>610</v>
      </c>
      <c r="M43" s="58">
        <f t="shared" si="1"/>
        <v>18300</v>
      </c>
      <c r="N43" s="38" t="s">
        <v>289</v>
      </c>
    </row>
    <row r="44" spans="1:15" s="39" customFormat="1" x14ac:dyDescent="0.3">
      <c r="A44" s="30">
        <v>41</v>
      </c>
      <c r="B44" s="31" t="s">
        <v>134</v>
      </c>
      <c r="C44" s="32" t="s">
        <v>145</v>
      </c>
      <c r="D44" s="31" t="s">
        <v>298</v>
      </c>
      <c r="E44" s="31"/>
      <c r="F44" s="34">
        <v>1</v>
      </c>
      <c r="G44" s="31" t="s">
        <v>116</v>
      </c>
      <c r="H44" s="33"/>
      <c r="I44" s="35">
        <v>0</v>
      </c>
      <c r="J44" s="36">
        <f t="shared" si="2"/>
        <v>-12</v>
      </c>
      <c r="K44" s="36">
        <v>30</v>
      </c>
      <c r="L44" s="37">
        <v>8140</v>
      </c>
      <c r="M44" s="58">
        <f t="shared" si="1"/>
        <v>244200</v>
      </c>
      <c r="N44" s="38" t="s">
        <v>289</v>
      </c>
    </row>
    <row r="45" spans="1:15" s="39" customFormat="1" x14ac:dyDescent="0.3">
      <c r="A45" s="30">
        <v>42</v>
      </c>
      <c r="B45" s="31" t="s">
        <v>134</v>
      </c>
      <c r="C45" s="32" t="s">
        <v>144</v>
      </c>
      <c r="D45" s="31" t="s">
        <v>299</v>
      </c>
      <c r="E45" s="31"/>
      <c r="F45" s="34">
        <v>4</v>
      </c>
      <c r="G45" s="31" t="s">
        <v>143</v>
      </c>
      <c r="H45" s="33"/>
      <c r="I45" s="35">
        <v>0</v>
      </c>
      <c r="J45" s="36">
        <f t="shared" si="2"/>
        <v>-48</v>
      </c>
      <c r="K45" s="36">
        <v>120</v>
      </c>
      <c r="L45" s="37">
        <v>4490</v>
      </c>
      <c r="M45" s="58">
        <f t="shared" si="1"/>
        <v>538800</v>
      </c>
      <c r="N45" s="38" t="s">
        <v>289</v>
      </c>
    </row>
    <row r="46" spans="1:15" s="39" customFormat="1" x14ac:dyDescent="0.3">
      <c r="A46" s="30">
        <v>43</v>
      </c>
      <c r="B46" s="31" t="s">
        <v>134</v>
      </c>
      <c r="C46" s="32" t="s">
        <v>142</v>
      </c>
      <c r="D46" s="31" t="s">
        <v>300</v>
      </c>
      <c r="E46" s="31"/>
      <c r="F46" s="34">
        <v>1</v>
      </c>
      <c r="G46" s="31" t="s">
        <v>141</v>
      </c>
      <c r="H46" s="33"/>
      <c r="I46" s="35">
        <v>0</v>
      </c>
      <c r="J46" s="36">
        <f t="shared" si="2"/>
        <v>-12</v>
      </c>
      <c r="K46" s="36">
        <v>30</v>
      </c>
      <c r="L46" s="37">
        <v>5900</v>
      </c>
      <c r="M46" s="58">
        <f t="shared" si="1"/>
        <v>177000</v>
      </c>
      <c r="N46" s="38" t="s">
        <v>286</v>
      </c>
    </row>
    <row r="47" spans="1:15" s="39" customFormat="1" x14ac:dyDescent="0.3">
      <c r="A47" s="30">
        <v>44</v>
      </c>
      <c r="B47" s="31" t="s">
        <v>134</v>
      </c>
      <c r="C47" s="32" t="s">
        <v>140</v>
      </c>
      <c r="D47" s="31" t="s">
        <v>301</v>
      </c>
      <c r="E47" s="31"/>
      <c r="F47" s="34">
        <v>3</v>
      </c>
      <c r="G47" s="31" t="s">
        <v>139</v>
      </c>
      <c r="H47" s="33"/>
      <c r="I47" s="35">
        <v>0</v>
      </c>
      <c r="J47" s="36">
        <f t="shared" si="2"/>
        <v>-36</v>
      </c>
      <c r="K47" s="36">
        <v>90</v>
      </c>
      <c r="L47" s="37">
        <v>520</v>
      </c>
      <c r="M47" s="58">
        <f t="shared" si="1"/>
        <v>46800</v>
      </c>
      <c r="N47" s="38" t="s">
        <v>289</v>
      </c>
    </row>
    <row r="48" spans="1:15" s="39" customFormat="1" x14ac:dyDescent="0.3">
      <c r="A48" s="30">
        <v>45</v>
      </c>
      <c r="B48" s="31" t="s">
        <v>134</v>
      </c>
      <c r="C48" s="32" t="s">
        <v>138</v>
      </c>
      <c r="D48" s="31" t="s">
        <v>302</v>
      </c>
      <c r="E48" s="31"/>
      <c r="F48" s="34">
        <v>1</v>
      </c>
      <c r="G48" s="31" t="s">
        <v>137</v>
      </c>
      <c r="H48" s="33"/>
      <c r="I48" s="35">
        <v>0</v>
      </c>
      <c r="J48" s="36">
        <f t="shared" si="2"/>
        <v>-12</v>
      </c>
      <c r="K48" s="36">
        <v>30</v>
      </c>
      <c r="L48" s="37">
        <v>35800</v>
      </c>
      <c r="M48" s="58">
        <f t="shared" si="1"/>
        <v>1074000</v>
      </c>
      <c r="N48" s="38" t="s">
        <v>289</v>
      </c>
    </row>
    <row r="49" spans="1:14" s="39" customFormat="1" x14ac:dyDescent="0.3">
      <c r="A49" s="30">
        <v>46</v>
      </c>
      <c r="B49" s="31" t="s">
        <v>134</v>
      </c>
      <c r="C49" s="32" t="s">
        <v>136</v>
      </c>
      <c r="D49" s="31" t="s">
        <v>303</v>
      </c>
      <c r="E49" s="31"/>
      <c r="F49" s="34">
        <v>2</v>
      </c>
      <c r="G49" s="31" t="s">
        <v>135</v>
      </c>
      <c r="H49" s="33"/>
      <c r="I49" s="35">
        <v>0</v>
      </c>
      <c r="J49" s="36">
        <f t="shared" si="2"/>
        <v>-24</v>
      </c>
      <c r="K49" s="36">
        <v>60</v>
      </c>
      <c r="L49" s="37">
        <v>210</v>
      </c>
      <c r="M49" s="58">
        <f t="shared" si="1"/>
        <v>12600</v>
      </c>
      <c r="N49" s="38" t="s">
        <v>289</v>
      </c>
    </row>
    <row r="50" spans="1:14" s="39" customFormat="1" x14ac:dyDescent="0.3">
      <c r="A50" s="30">
        <v>47</v>
      </c>
      <c r="B50" s="31" t="s">
        <v>134</v>
      </c>
      <c r="C50" s="32" t="s">
        <v>133</v>
      </c>
      <c r="D50" s="31" t="s">
        <v>304</v>
      </c>
      <c r="E50" s="31"/>
      <c r="F50" s="34">
        <v>1</v>
      </c>
      <c r="G50" s="31" t="s">
        <v>132</v>
      </c>
      <c r="H50" s="33"/>
      <c r="I50" s="35">
        <v>0</v>
      </c>
      <c r="J50" s="36">
        <f t="shared" si="2"/>
        <v>-12</v>
      </c>
      <c r="K50" s="36">
        <v>30</v>
      </c>
      <c r="L50" s="37">
        <v>8400</v>
      </c>
      <c r="M50" s="58">
        <f t="shared" si="1"/>
        <v>252000</v>
      </c>
      <c r="N50" s="38" t="s">
        <v>296</v>
      </c>
    </row>
    <row r="51" spans="1:14" s="39" customFormat="1" x14ac:dyDescent="0.3">
      <c r="A51" s="30">
        <v>48</v>
      </c>
      <c r="B51" s="31" t="s">
        <v>131</v>
      </c>
      <c r="C51" s="32" t="s">
        <v>130</v>
      </c>
      <c r="D51" s="33" t="s">
        <v>129</v>
      </c>
      <c r="E51" s="33"/>
      <c r="F51" s="34">
        <v>3</v>
      </c>
      <c r="G51" s="31" t="s">
        <v>128</v>
      </c>
      <c r="H51" s="31" t="s">
        <v>127</v>
      </c>
      <c r="I51" s="40">
        <v>0</v>
      </c>
      <c r="J51" s="36">
        <f t="shared" si="2"/>
        <v>-36</v>
      </c>
      <c r="K51" s="36">
        <v>100</v>
      </c>
      <c r="L51" s="41">
        <v>92</v>
      </c>
      <c r="M51" s="58">
        <f t="shared" si="1"/>
        <v>9200</v>
      </c>
      <c r="N51" s="38" t="s">
        <v>287</v>
      </c>
    </row>
    <row r="52" spans="1:14" s="39" customFormat="1" x14ac:dyDescent="0.3">
      <c r="A52" s="30">
        <v>49</v>
      </c>
      <c r="B52" s="31" t="s">
        <v>126</v>
      </c>
      <c r="C52" s="32" t="s">
        <v>125</v>
      </c>
      <c r="D52" s="31" t="s">
        <v>124</v>
      </c>
      <c r="E52" s="31" t="s">
        <v>123</v>
      </c>
      <c r="F52" s="34">
        <v>3</v>
      </c>
      <c r="G52" s="31" t="s">
        <v>122</v>
      </c>
      <c r="H52" s="31" t="s">
        <v>121</v>
      </c>
      <c r="I52" s="40">
        <v>0</v>
      </c>
      <c r="J52" s="36">
        <f t="shared" si="2"/>
        <v>-36</v>
      </c>
      <c r="K52" s="36">
        <v>100</v>
      </c>
      <c r="L52" s="41">
        <v>46</v>
      </c>
      <c r="M52" s="58">
        <f t="shared" si="1"/>
        <v>4600</v>
      </c>
      <c r="N52" s="38" t="s">
        <v>287</v>
      </c>
    </row>
    <row r="53" spans="1:14" hidden="1" x14ac:dyDescent="0.3">
      <c r="A53" s="11">
        <v>50</v>
      </c>
      <c r="B53" s="12" t="s">
        <v>120</v>
      </c>
      <c r="C53" s="15" t="s">
        <v>119</v>
      </c>
      <c r="D53" s="12" t="s">
        <v>118</v>
      </c>
      <c r="E53" s="12"/>
      <c r="F53" s="14">
        <v>6</v>
      </c>
      <c r="G53" s="12" t="s">
        <v>111</v>
      </c>
      <c r="H53" s="12" t="s">
        <v>118</v>
      </c>
      <c r="I53" s="13">
        <v>3000</v>
      </c>
      <c r="J53" s="7">
        <f t="shared" si="2"/>
        <v>2928</v>
      </c>
      <c r="K53" s="7"/>
      <c r="L53" s="27"/>
      <c r="M53" s="58">
        <f t="shared" si="1"/>
        <v>0</v>
      </c>
    </row>
    <row r="54" spans="1:14" s="39" customFormat="1" x14ac:dyDescent="0.3">
      <c r="A54" s="30">
        <v>51</v>
      </c>
      <c r="B54" s="31" t="s">
        <v>114</v>
      </c>
      <c r="C54" s="32" t="s">
        <v>117</v>
      </c>
      <c r="D54" s="33" t="s">
        <v>305</v>
      </c>
      <c r="E54" s="33"/>
      <c r="F54" s="34">
        <v>8</v>
      </c>
      <c r="G54" s="31" t="s">
        <v>116</v>
      </c>
      <c r="H54" s="31" t="s">
        <v>115</v>
      </c>
      <c r="I54" s="40">
        <v>0</v>
      </c>
      <c r="J54" s="36">
        <f t="shared" si="2"/>
        <v>-96</v>
      </c>
      <c r="K54" s="36">
        <v>240</v>
      </c>
      <c r="L54" s="41">
        <v>1480</v>
      </c>
      <c r="M54" s="58">
        <f t="shared" si="1"/>
        <v>355200</v>
      </c>
      <c r="N54" s="38" t="s">
        <v>289</v>
      </c>
    </row>
    <row r="55" spans="1:14" ht="33" hidden="1" x14ac:dyDescent="0.3">
      <c r="A55" s="11">
        <v>52</v>
      </c>
      <c r="B55" s="12" t="s">
        <v>114</v>
      </c>
      <c r="C55" s="15" t="s">
        <v>113</v>
      </c>
      <c r="D55" s="12" t="s">
        <v>112</v>
      </c>
      <c r="E55" s="12"/>
      <c r="F55" s="14">
        <v>9</v>
      </c>
      <c r="G55" s="12" t="s">
        <v>111</v>
      </c>
      <c r="H55" s="12" t="s">
        <v>110</v>
      </c>
      <c r="I55" s="13">
        <v>3000</v>
      </c>
      <c r="J55" s="7">
        <f t="shared" si="2"/>
        <v>2892</v>
      </c>
      <c r="K55" s="7"/>
      <c r="L55" s="27"/>
      <c r="M55" s="58">
        <f t="shared" si="1"/>
        <v>0</v>
      </c>
    </row>
    <row r="56" spans="1:14" s="39" customFormat="1" x14ac:dyDescent="0.3">
      <c r="A56" s="30">
        <v>53</v>
      </c>
      <c r="B56" s="31" t="s">
        <v>105</v>
      </c>
      <c r="C56" s="32" t="s">
        <v>109</v>
      </c>
      <c r="D56" s="31" t="s">
        <v>108</v>
      </c>
      <c r="E56" s="31" t="s">
        <v>107</v>
      </c>
      <c r="F56" s="34">
        <v>1</v>
      </c>
      <c r="G56" s="31" t="s">
        <v>106</v>
      </c>
      <c r="H56" s="33"/>
      <c r="I56" s="35">
        <v>0</v>
      </c>
      <c r="J56" s="36">
        <f t="shared" si="2"/>
        <v>-12</v>
      </c>
      <c r="K56" s="36">
        <v>30</v>
      </c>
      <c r="L56" s="37">
        <v>1050</v>
      </c>
      <c r="M56" s="58">
        <f t="shared" si="1"/>
        <v>31500</v>
      </c>
      <c r="N56" s="38" t="s">
        <v>286</v>
      </c>
    </row>
    <row r="57" spans="1:14" s="39" customFormat="1" x14ac:dyDescent="0.3">
      <c r="A57" s="30">
        <v>54</v>
      </c>
      <c r="B57" s="31" t="s">
        <v>105</v>
      </c>
      <c r="C57" s="32" t="s">
        <v>104</v>
      </c>
      <c r="D57" s="31" t="s">
        <v>306</v>
      </c>
      <c r="E57" s="31" t="s">
        <v>103</v>
      </c>
      <c r="F57" s="34">
        <v>2</v>
      </c>
      <c r="G57" s="31" t="s">
        <v>102</v>
      </c>
      <c r="H57" s="33"/>
      <c r="I57" s="35">
        <v>0</v>
      </c>
      <c r="J57" s="36">
        <f t="shared" si="2"/>
        <v>-24</v>
      </c>
      <c r="K57" s="36">
        <v>60</v>
      </c>
      <c r="L57" s="37">
        <v>1540</v>
      </c>
      <c r="M57" s="58">
        <f t="shared" si="1"/>
        <v>92400</v>
      </c>
      <c r="N57" s="38" t="s">
        <v>286</v>
      </c>
    </row>
    <row r="58" spans="1:14" ht="66" hidden="1" customHeight="1" x14ac:dyDescent="0.3">
      <c r="A58" s="11">
        <v>55</v>
      </c>
      <c r="B58" s="12" t="s">
        <v>101</v>
      </c>
      <c r="C58" s="15" t="s">
        <v>100</v>
      </c>
      <c r="D58" s="12" t="s">
        <v>99</v>
      </c>
      <c r="E58" s="12" t="s">
        <v>98</v>
      </c>
      <c r="F58" s="14">
        <v>9</v>
      </c>
      <c r="G58" s="12" t="s">
        <v>97</v>
      </c>
      <c r="H58" s="12" t="s">
        <v>96</v>
      </c>
      <c r="I58" s="13">
        <v>3000</v>
      </c>
      <c r="J58" s="7">
        <f t="shared" si="2"/>
        <v>2892</v>
      </c>
      <c r="K58" s="7"/>
      <c r="L58" s="27"/>
      <c r="M58" s="58">
        <f t="shared" si="1"/>
        <v>0</v>
      </c>
    </row>
    <row r="59" spans="1:14" hidden="1" x14ac:dyDescent="0.3">
      <c r="A59" s="11">
        <v>56</v>
      </c>
      <c r="B59" s="12" t="s">
        <v>89</v>
      </c>
      <c r="C59" s="15" t="s">
        <v>95</v>
      </c>
      <c r="D59" s="12" t="s">
        <v>94</v>
      </c>
      <c r="E59" s="12"/>
      <c r="F59" s="14">
        <v>3</v>
      </c>
      <c r="G59" s="12" t="s">
        <v>93</v>
      </c>
      <c r="H59" s="12" t="s">
        <v>92</v>
      </c>
      <c r="I59" s="13">
        <v>3000</v>
      </c>
      <c r="J59" s="7">
        <f t="shared" si="2"/>
        <v>2964</v>
      </c>
      <c r="K59" s="7"/>
      <c r="L59" s="27"/>
      <c r="M59" s="58">
        <f t="shared" si="1"/>
        <v>0</v>
      </c>
    </row>
    <row r="60" spans="1:14" s="39" customFormat="1" x14ac:dyDescent="0.3">
      <c r="A60" s="30">
        <v>57</v>
      </c>
      <c r="B60" s="31" t="s">
        <v>89</v>
      </c>
      <c r="C60" s="32" t="s">
        <v>91</v>
      </c>
      <c r="D60" s="33" t="s">
        <v>90</v>
      </c>
      <c r="E60" s="33"/>
      <c r="F60" s="34">
        <v>2</v>
      </c>
      <c r="G60" s="31" t="s">
        <v>86</v>
      </c>
      <c r="H60" s="31"/>
      <c r="I60" s="40">
        <v>0</v>
      </c>
      <c r="J60" s="36">
        <f t="shared" si="2"/>
        <v>-24</v>
      </c>
      <c r="K60" s="36">
        <v>60</v>
      </c>
      <c r="L60" s="41">
        <v>3000</v>
      </c>
      <c r="M60" s="58">
        <f t="shared" si="1"/>
        <v>180000</v>
      </c>
      <c r="N60" s="38" t="s">
        <v>289</v>
      </c>
    </row>
    <row r="61" spans="1:14" s="39" customFormat="1" x14ac:dyDescent="0.3">
      <c r="A61" s="30">
        <v>58</v>
      </c>
      <c r="B61" s="31" t="s">
        <v>89</v>
      </c>
      <c r="C61" s="32" t="s">
        <v>88</v>
      </c>
      <c r="D61" s="31" t="s">
        <v>87</v>
      </c>
      <c r="E61" s="31"/>
      <c r="F61" s="34">
        <v>1</v>
      </c>
      <c r="G61" s="31" t="s">
        <v>86</v>
      </c>
      <c r="H61" s="31" t="s">
        <v>85</v>
      </c>
      <c r="I61" s="40">
        <v>0</v>
      </c>
      <c r="J61" s="36">
        <f t="shared" si="2"/>
        <v>-12</v>
      </c>
      <c r="K61" s="36">
        <v>30</v>
      </c>
      <c r="L61" s="41">
        <v>2200</v>
      </c>
      <c r="M61" s="58">
        <f t="shared" si="1"/>
        <v>66000</v>
      </c>
      <c r="N61" s="38" t="s">
        <v>289</v>
      </c>
    </row>
    <row r="62" spans="1:14" s="39" customFormat="1" x14ac:dyDescent="0.3">
      <c r="A62" s="30">
        <v>59</v>
      </c>
      <c r="B62" s="44" t="s">
        <v>84</v>
      </c>
      <c r="C62" s="45" t="s">
        <v>83</v>
      </c>
      <c r="D62" s="44" t="s">
        <v>82</v>
      </c>
      <c r="E62" s="46" t="s">
        <v>81</v>
      </c>
      <c r="F62" s="47">
        <v>1</v>
      </c>
      <c r="G62" s="44" t="s">
        <v>80</v>
      </c>
      <c r="H62" s="44" t="s">
        <v>79</v>
      </c>
      <c r="I62" s="36"/>
      <c r="J62" s="36">
        <f t="shared" si="2"/>
        <v>-12</v>
      </c>
      <c r="K62" s="36">
        <v>30</v>
      </c>
      <c r="L62" s="48">
        <v>350</v>
      </c>
      <c r="M62" s="58">
        <f t="shared" si="1"/>
        <v>10500</v>
      </c>
      <c r="N62" s="38" t="s">
        <v>287</v>
      </c>
    </row>
    <row r="63" spans="1:14" hidden="1" x14ac:dyDescent="0.3">
      <c r="A63" s="5">
        <v>60</v>
      </c>
      <c r="B63" s="6" t="s">
        <v>55</v>
      </c>
      <c r="C63" s="10" t="s">
        <v>78</v>
      </c>
      <c r="D63" s="6" t="s">
        <v>77</v>
      </c>
      <c r="E63" s="6"/>
      <c r="F63" s="9">
        <v>2</v>
      </c>
      <c r="G63" s="6" t="s">
        <v>77</v>
      </c>
      <c r="H63" s="6" t="s">
        <v>6</v>
      </c>
      <c r="I63" s="8">
        <v>200</v>
      </c>
      <c r="J63" s="7">
        <f t="shared" si="2"/>
        <v>176</v>
      </c>
      <c r="K63" s="7"/>
      <c r="L63" s="28"/>
      <c r="M63" s="58">
        <f t="shared" si="1"/>
        <v>0</v>
      </c>
    </row>
    <row r="64" spans="1:14" s="39" customFormat="1" ht="82.5" x14ac:dyDescent="0.3">
      <c r="A64" s="30">
        <v>61</v>
      </c>
      <c r="B64" s="31" t="s">
        <v>55</v>
      </c>
      <c r="C64" s="32" t="s">
        <v>76</v>
      </c>
      <c r="D64" s="31" t="s">
        <v>307</v>
      </c>
      <c r="E64" s="31"/>
      <c r="F64" s="34">
        <v>28</v>
      </c>
      <c r="G64" s="31" t="s">
        <v>75</v>
      </c>
      <c r="H64" s="31" t="s">
        <v>74</v>
      </c>
      <c r="I64" s="40">
        <v>0</v>
      </c>
      <c r="J64" s="36">
        <f t="shared" si="2"/>
        <v>-336</v>
      </c>
      <c r="K64" s="36">
        <v>1000</v>
      </c>
      <c r="L64" s="41">
        <v>31.2</v>
      </c>
      <c r="M64" s="58">
        <f t="shared" si="1"/>
        <v>31200</v>
      </c>
      <c r="N64" s="38" t="s">
        <v>283</v>
      </c>
    </row>
    <row r="65" spans="1:15" s="39" customFormat="1" x14ac:dyDescent="0.3">
      <c r="A65" s="30">
        <v>62</v>
      </c>
      <c r="B65" s="31" t="s">
        <v>55</v>
      </c>
      <c r="C65" s="32" t="s">
        <v>73</v>
      </c>
      <c r="D65" s="31" t="s">
        <v>72</v>
      </c>
      <c r="E65" s="31"/>
      <c r="F65" s="34">
        <v>2</v>
      </c>
      <c r="G65" s="31" t="s">
        <v>72</v>
      </c>
      <c r="H65" s="31" t="s">
        <v>71</v>
      </c>
      <c r="I65" s="40">
        <v>0</v>
      </c>
      <c r="J65" s="36">
        <f t="shared" si="2"/>
        <v>-24</v>
      </c>
      <c r="K65" s="36">
        <v>60</v>
      </c>
      <c r="L65" s="41">
        <v>57.5</v>
      </c>
      <c r="M65" s="58">
        <f t="shared" si="1"/>
        <v>3450</v>
      </c>
      <c r="N65" s="38" t="s">
        <v>283</v>
      </c>
    </row>
    <row r="66" spans="1:15" s="39" customFormat="1" x14ac:dyDescent="0.3">
      <c r="A66" s="30">
        <v>63</v>
      </c>
      <c r="B66" s="31" t="s">
        <v>55</v>
      </c>
      <c r="C66" s="32" t="s">
        <v>70</v>
      </c>
      <c r="D66" s="31" t="s">
        <v>69</v>
      </c>
      <c r="E66" s="31"/>
      <c r="F66" s="34">
        <v>2</v>
      </c>
      <c r="G66" s="31" t="s">
        <v>69</v>
      </c>
      <c r="H66" s="31" t="s">
        <v>68</v>
      </c>
      <c r="I66" s="40">
        <v>0</v>
      </c>
      <c r="J66" s="36">
        <f t="shared" si="2"/>
        <v>-24</v>
      </c>
      <c r="K66" s="36">
        <v>60</v>
      </c>
      <c r="L66" s="41">
        <v>67.2</v>
      </c>
      <c r="M66" s="58">
        <f t="shared" si="1"/>
        <v>4032</v>
      </c>
      <c r="N66" s="38" t="s">
        <v>283</v>
      </c>
    </row>
    <row r="67" spans="1:15" s="39" customFormat="1" ht="33" x14ac:dyDescent="0.3">
      <c r="A67" s="30">
        <v>64</v>
      </c>
      <c r="B67" s="31" t="s">
        <v>55</v>
      </c>
      <c r="C67" s="32" t="s">
        <v>67</v>
      </c>
      <c r="D67" s="31" t="s">
        <v>308</v>
      </c>
      <c r="E67" s="31"/>
      <c r="F67" s="34">
        <v>11</v>
      </c>
      <c r="G67" s="31" t="s">
        <v>66</v>
      </c>
      <c r="H67" s="31" t="s">
        <v>65</v>
      </c>
      <c r="I67" s="40">
        <v>0</v>
      </c>
      <c r="J67" s="36">
        <f t="shared" si="2"/>
        <v>-132</v>
      </c>
      <c r="K67" s="36">
        <v>330</v>
      </c>
      <c r="L67" s="41">
        <v>20</v>
      </c>
      <c r="M67" s="58">
        <f t="shared" si="1"/>
        <v>6600</v>
      </c>
      <c r="N67" s="38" t="s">
        <v>283</v>
      </c>
    </row>
    <row r="68" spans="1:15" s="39" customFormat="1" x14ac:dyDescent="0.3">
      <c r="A68" s="30">
        <v>65</v>
      </c>
      <c r="B68" s="31" t="s">
        <v>55</v>
      </c>
      <c r="C68" s="32" t="s">
        <v>64</v>
      </c>
      <c r="D68" s="31" t="s">
        <v>309</v>
      </c>
      <c r="E68" s="31"/>
      <c r="F68" s="34">
        <v>4</v>
      </c>
      <c r="G68" s="31" t="s">
        <v>63</v>
      </c>
      <c r="H68" s="31" t="s">
        <v>62</v>
      </c>
      <c r="I68" s="40">
        <v>0</v>
      </c>
      <c r="J68" s="36">
        <f t="shared" ref="J68:J84" si="3">-((($G$2)*F68)-I68)</f>
        <v>-48</v>
      </c>
      <c r="K68" s="36">
        <v>120</v>
      </c>
      <c r="L68" s="37">
        <v>23</v>
      </c>
      <c r="M68" s="58">
        <f t="shared" si="1"/>
        <v>2760</v>
      </c>
      <c r="N68" s="38" t="s">
        <v>283</v>
      </c>
    </row>
    <row r="69" spans="1:15" s="39" customFormat="1" x14ac:dyDescent="0.3">
      <c r="A69" s="30">
        <v>66</v>
      </c>
      <c r="B69" s="31" t="s">
        <v>55</v>
      </c>
      <c r="C69" s="32" t="s">
        <v>61</v>
      </c>
      <c r="D69" s="31" t="s">
        <v>310</v>
      </c>
      <c r="E69" s="31"/>
      <c r="F69" s="34">
        <v>4</v>
      </c>
      <c r="G69" s="31" t="s">
        <v>60</v>
      </c>
      <c r="H69" s="31" t="s">
        <v>59</v>
      </c>
      <c r="I69" s="40">
        <v>0</v>
      </c>
      <c r="J69" s="36">
        <f t="shared" si="3"/>
        <v>-48</v>
      </c>
      <c r="K69" s="36">
        <v>120</v>
      </c>
      <c r="L69" s="37">
        <v>35</v>
      </c>
      <c r="M69" s="58">
        <f t="shared" ref="M69:M85" si="4">K69*L69</f>
        <v>4200</v>
      </c>
      <c r="N69" s="38" t="s">
        <v>283</v>
      </c>
    </row>
    <row r="70" spans="1:15" s="69" customFormat="1" x14ac:dyDescent="0.3">
      <c r="A70" s="59">
        <v>67</v>
      </c>
      <c r="B70" s="60" t="s">
        <v>55</v>
      </c>
      <c r="C70" s="61" t="s">
        <v>58</v>
      </c>
      <c r="D70" s="60" t="s">
        <v>324</v>
      </c>
      <c r="E70" s="60"/>
      <c r="F70" s="63">
        <v>1</v>
      </c>
      <c r="G70" s="60" t="s">
        <v>324</v>
      </c>
      <c r="H70" s="62"/>
      <c r="I70" s="71">
        <v>0</v>
      </c>
      <c r="J70" s="65">
        <f t="shared" si="3"/>
        <v>-12</v>
      </c>
      <c r="K70" s="65"/>
      <c r="L70" s="72"/>
      <c r="M70" s="67">
        <f t="shared" si="4"/>
        <v>0</v>
      </c>
      <c r="N70" s="73" t="s">
        <v>320</v>
      </c>
    </row>
    <row r="71" spans="1:15" s="39" customFormat="1" x14ac:dyDescent="0.3">
      <c r="A71" s="30">
        <v>68</v>
      </c>
      <c r="B71" s="31" t="s">
        <v>55</v>
      </c>
      <c r="C71" s="32" t="s">
        <v>57</v>
      </c>
      <c r="D71" s="31" t="s">
        <v>315</v>
      </c>
      <c r="E71" s="31"/>
      <c r="F71" s="34">
        <v>2</v>
      </c>
      <c r="G71" s="31" t="s">
        <v>56</v>
      </c>
      <c r="H71" s="33"/>
      <c r="I71" s="35">
        <v>0</v>
      </c>
      <c r="J71" s="36">
        <f t="shared" si="3"/>
        <v>-24</v>
      </c>
      <c r="K71" s="36">
        <v>60</v>
      </c>
      <c r="L71" s="37">
        <v>5380</v>
      </c>
      <c r="M71" s="58">
        <f t="shared" si="4"/>
        <v>322800</v>
      </c>
      <c r="N71" s="38" t="s">
        <v>286</v>
      </c>
    </row>
    <row r="72" spans="1:15" s="39" customFormat="1" x14ac:dyDescent="0.3">
      <c r="A72" s="30">
        <v>69</v>
      </c>
      <c r="B72" s="31" t="s">
        <v>55</v>
      </c>
      <c r="C72" s="32" t="s">
        <v>54</v>
      </c>
      <c r="D72" s="31" t="s">
        <v>316</v>
      </c>
      <c r="E72" s="31"/>
      <c r="F72" s="34">
        <v>8</v>
      </c>
      <c r="G72" s="31" t="s">
        <v>53</v>
      </c>
      <c r="H72" s="33"/>
      <c r="I72" s="35">
        <v>0</v>
      </c>
      <c r="J72" s="36">
        <f t="shared" si="3"/>
        <v>-96</v>
      </c>
      <c r="K72" s="36">
        <v>240</v>
      </c>
      <c r="L72" s="37">
        <v>2320</v>
      </c>
      <c r="M72" s="58">
        <f t="shared" si="4"/>
        <v>556800</v>
      </c>
      <c r="N72" s="38" t="s">
        <v>286</v>
      </c>
    </row>
    <row r="73" spans="1:15" s="39" customFormat="1" x14ac:dyDescent="0.3">
      <c r="A73" s="30">
        <v>70</v>
      </c>
      <c r="B73" s="31" t="s">
        <v>52</v>
      </c>
      <c r="C73" s="32" t="s">
        <v>51</v>
      </c>
      <c r="D73" s="31" t="s">
        <v>50</v>
      </c>
      <c r="E73" s="31" t="s">
        <v>50</v>
      </c>
      <c r="F73" s="34">
        <v>2</v>
      </c>
      <c r="G73" s="31" t="s">
        <v>49</v>
      </c>
      <c r="H73" s="31" t="s">
        <v>6</v>
      </c>
      <c r="I73" s="40">
        <v>0</v>
      </c>
      <c r="J73" s="36">
        <f t="shared" si="3"/>
        <v>-24</v>
      </c>
      <c r="K73" s="36">
        <v>100</v>
      </c>
      <c r="L73" s="41">
        <v>35</v>
      </c>
      <c r="M73" s="58">
        <f t="shared" si="4"/>
        <v>3500</v>
      </c>
      <c r="N73" s="38" t="s">
        <v>287</v>
      </c>
      <c r="O73" s="49" t="s">
        <v>292</v>
      </c>
    </row>
    <row r="74" spans="1:15" s="69" customFormat="1" x14ac:dyDescent="0.3">
      <c r="A74" s="59">
        <v>71</v>
      </c>
      <c r="B74" s="60" t="s">
        <v>47</v>
      </c>
      <c r="C74" s="61" t="s">
        <v>48</v>
      </c>
      <c r="D74" s="60" t="s">
        <v>47</v>
      </c>
      <c r="E74" s="60"/>
      <c r="F74" s="63">
        <v>2</v>
      </c>
      <c r="G74" s="60" t="s">
        <v>46</v>
      </c>
      <c r="H74" s="60" t="s">
        <v>6</v>
      </c>
      <c r="I74" s="64">
        <v>0</v>
      </c>
      <c r="J74" s="65">
        <f t="shared" si="3"/>
        <v>-24</v>
      </c>
      <c r="K74" s="65"/>
      <c r="L74" s="66"/>
      <c r="M74" s="67">
        <f t="shared" si="4"/>
        <v>0</v>
      </c>
      <c r="N74" s="70"/>
    </row>
    <row r="75" spans="1:15" hidden="1" x14ac:dyDescent="0.3">
      <c r="A75" s="5">
        <v>72</v>
      </c>
      <c r="B75" s="6" t="s">
        <v>41</v>
      </c>
      <c r="C75" s="10" t="s">
        <v>45</v>
      </c>
      <c r="D75" s="6" t="s">
        <v>44</v>
      </c>
      <c r="E75" s="6"/>
      <c r="F75" s="9">
        <v>1</v>
      </c>
      <c r="G75" s="6" t="s">
        <v>43</v>
      </c>
      <c r="H75" s="6" t="s">
        <v>42</v>
      </c>
      <c r="I75" s="8">
        <v>100</v>
      </c>
      <c r="J75" s="7">
        <f t="shared" si="3"/>
        <v>88</v>
      </c>
      <c r="K75" s="7"/>
      <c r="L75" s="28"/>
      <c r="M75" s="58">
        <f t="shared" si="4"/>
        <v>0</v>
      </c>
    </row>
    <row r="76" spans="1:15" s="39" customFormat="1" x14ac:dyDescent="0.3">
      <c r="A76" s="30">
        <v>73</v>
      </c>
      <c r="B76" s="31" t="s">
        <v>41</v>
      </c>
      <c r="C76" s="32" t="s">
        <v>40</v>
      </c>
      <c r="D76" s="31" t="s">
        <v>317</v>
      </c>
      <c r="E76" s="31" t="s">
        <v>39</v>
      </c>
      <c r="F76" s="34">
        <v>1</v>
      </c>
      <c r="G76" s="31" t="s">
        <v>38</v>
      </c>
      <c r="H76" s="31" t="s">
        <v>37</v>
      </c>
      <c r="I76" s="40">
        <v>0</v>
      </c>
      <c r="J76" s="36">
        <f t="shared" si="3"/>
        <v>-12</v>
      </c>
      <c r="K76" s="36">
        <v>30</v>
      </c>
      <c r="L76" s="41">
        <v>800</v>
      </c>
      <c r="M76" s="58">
        <f t="shared" si="4"/>
        <v>24000</v>
      </c>
      <c r="N76" s="38" t="s">
        <v>287</v>
      </c>
    </row>
    <row r="77" spans="1:15" s="39" customFormat="1" x14ac:dyDescent="0.3">
      <c r="A77" s="30">
        <v>74</v>
      </c>
      <c r="B77" s="31" t="s">
        <v>36</v>
      </c>
      <c r="C77" s="32" t="s">
        <v>35</v>
      </c>
      <c r="D77" s="31" t="s">
        <v>34</v>
      </c>
      <c r="E77" s="31" t="s">
        <v>33</v>
      </c>
      <c r="F77" s="34">
        <v>3</v>
      </c>
      <c r="G77" s="31" t="s">
        <v>32</v>
      </c>
      <c r="H77" s="31" t="s">
        <v>6</v>
      </c>
      <c r="I77" s="40"/>
      <c r="J77" s="36">
        <f t="shared" si="3"/>
        <v>-36</v>
      </c>
      <c r="K77" s="36">
        <v>100</v>
      </c>
      <c r="L77" s="41">
        <v>205</v>
      </c>
      <c r="M77" s="58">
        <f t="shared" si="4"/>
        <v>20500</v>
      </c>
      <c r="N77" s="38" t="s">
        <v>283</v>
      </c>
      <c r="O77" s="49" t="s">
        <v>318</v>
      </c>
    </row>
    <row r="78" spans="1:15" s="69" customFormat="1" x14ac:dyDescent="0.3">
      <c r="A78" s="59">
        <v>75</v>
      </c>
      <c r="B78" s="60" t="s">
        <v>31</v>
      </c>
      <c r="C78" s="61" t="s">
        <v>30</v>
      </c>
      <c r="D78" s="62" t="s">
        <v>313</v>
      </c>
      <c r="E78" s="62"/>
      <c r="F78" s="63">
        <v>6</v>
      </c>
      <c r="G78" s="60" t="s">
        <v>29</v>
      </c>
      <c r="H78" s="60" t="s">
        <v>6</v>
      </c>
      <c r="I78" s="64">
        <v>100</v>
      </c>
      <c r="J78" s="65">
        <f t="shared" si="3"/>
        <v>28</v>
      </c>
      <c r="K78" s="65">
        <v>80</v>
      </c>
      <c r="L78" s="66"/>
      <c r="M78" s="67">
        <f t="shared" si="4"/>
        <v>0</v>
      </c>
      <c r="N78" s="68" t="s">
        <v>321</v>
      </c>
    </row>
    <row r="79" spans="1:15" s="39" customFormat="1" x14ac:dyDescent="0.3">
      <c r="A79" s="30">
        <v>76</v>
      </c>
      <c r="B79" s="31" t="s">
        <v>21</v>
      </c>
      <c r="C79" s="32" t="s">
        <v>28</v>
      </c>
      <c r="D79" s="31" t="s">
        <v>27</v>
      </c>
      <c r="E79" s="31"/>
      <c r="F79" s="34">
        <v>1</v>
      </c>
      <c r="G79" s="31" t="s">
        <v>26</v>
      </c>
      <c r="H79" s="31" t="s">
        <v>22</v>
      </c>
      <c r="I79" s="40">
        <v>0</v>
      </c>
      <c r="J79" s="36">
        <f t="shared" si="3"/>
        <v>-12</v>
      </c>
      <c r="K79" s="36">
        <v>30</v>
      </c>
      <c r="L79" s="41">
        <v>390</v>
      </c>
      <c r="M79" s="58">
        <f t="shared" si="4"/>
        <v>11700</v>
      </c>
      <c r="N79" s="38" t="s">
        <v>283</v>
      </c>
    </row>
    <row r="80" spans="1:15" s="39" customFormat="1" x14ac:dyDescent="0.3">
      <c r="A80" s="30">
        <v>77</v>
      </c>
      <c r="B80" s="31" t="s">
        <v>21</v>
      </c>
      <c r="C80" s="32" t="s">
        <v>25</v>
      </c>
      <c r="D80" s="31" t="s">
        <v>24</v>
      </c>
      <c r="E80" s="31"/>
      <c r="F80" s="34">
        <v>1</v>
      </c>
      <c r="G80" s="31" t="s">
        <v>23</v>
      </c>
      <c r="H80" s="31" t="s">
        <v>22</v>
      </c>
      <c r="I80" s="40">
        <v>0</v>
      </c>
      <c r="J80" s="36">
        <f t="shared" si="3"/>
        <v>-12</v>
      </c>
      <c r="K80" s="36">
        <v>30</v>
      </c>
      <c r="L80" s="41">
        <v>260</v>
      </c>
      <c r="M80" s="58">
        <f t="shared" si="4"/>
        <v>7800</v>
      </c>
      <c r="N80" s="38" t="s">
        <v>283</v>
      </c>
    </row>
    <row r="81" spans="1:14" s="39" customFormat="1" x14ac:dyDescent="0.3">
      <c r="A81" s="30">
        <v>78</v>
      </c>
      <c r="B81" s="31" t="s">
        <v>21</v>
      </c>
      <c r="C81" s="32" t="s">
        <v>20</v>
      </c>
      <c r="D81" s="31" t="s">
        <v>19</v>
      </c>
      <c r="E81" s="31"/>
      <c r="F81" s="34">
        <v>1</v>
      </c>
      <c r="G81" s="31" t="s">
        <v>18</v>
      </c>
      <c r="H81" s="31" t="s">
        <v>6</v>
      </c>
      <c r="I81" s="40">
        <v>10</v>
      </c>
      <c r="J81" s="36">
        <f t="shared" si="3"/>
        <v>-2</v>
      </c>
      <c r="K81" s="36">
        <v>20</v>
      </c>
      <c r="L81" s="41">
        <v>1620</v>
      </c>
      <c r="M81" s="58">
        <f t="shared" si="4"/>
        <v>32400</v>
      </c>
      <c r="N81" s="43" t="s">
        <v>314</v>
      </c>
    </row>
    <row r="82" spans="1:14" s="39" customFormat="1" x14ac:dyDescent="0.3">
      <c r="A82" s="30">
        <v>79</v>
      </c>
      <c r="B82" s="31" t="s">
        <v>17</v>
      </c>
      <c r="C82" s="32" t="s">
        <v>16</v>
      </c>
      <c r="D82" s="33" t="s">
        <v>15</v>
      </c>
      <c r="E82" s="33"/>
      <c r="F82" s="34">
        <v>1</v>
      </c>
      <c r="G82" s="31" t="s">
        <v>14</v>
      </c>
      <c r="H82" s="31" t="s">
        <v>13</v>
      </c>
      <c r="I82" s="40">
        <v>0</v>
      </c>
      <c r="J82" s="36">
        <f t="shared" si="3"/>
        <v>-12</v>
      </c>
      <c r="K82" s="36">
        <v>30</v>
      </c>
      <c r="L82" s="37">
        <v>14300</v>
      </c>
      <c r="M82" s="58">
        <f t="shared" si="4"/>
        <v>429000</v>
      </c>
      <c r="N82" s="38" t="s">
        <v>312</v>
      </c>
    </row>
    <row r="83" spans="1:14" s="39" customFormat="1" x14ac:dyDescent="0.3">
      <c r="A83" s="30">
        <v>80</v>
      </c>
      <c r="B83" s="31" t="s">
        <v>10</v>
      </c>
      <c r="C83" s="32" t="s">
        <v>12</v>
      </c>
      <c r="D83" s="31" t="s">
        <v>11</v>
      </c>
      <c r="E83" s="81" t="s">
        <v>311</v>
      </c>
      <c r="F83" s="34">
        <v>1</v>
      </c>
      <c r="G83" s="31" t="s">
        <v>7</v>
      </c>
      <c r="H83" s="31" t="s">
        <v>6</v>
      </c>
      <c r="I83" s="40">
        <v>0</v>
      </c>
      <c r="J83" s="36">
        <f t="shared" si="3"/>
        <v>-12</v>
      </c>
      <c r="K83" s="76">
        <v>100</v>
      </c>
      <c r="L83" s="78">
        <v>60</v>
      </c>
      <c r="M83" s="58">
        <f t="shared" si="4"/>
        <v>6000</v>
      </c>
      <c r="N83" s="80" t="s">
        <v>287</v>
      </c>
    </row>
    <row r="84" spans="1:14" s="39" customFormat="1" x14ac:dyDescent="0.3">
      <c r="A84" s="30">
        <v>81</v>
      </c>
      <c r="B84" s="31" t="s">
        <v>10</v>
      </c>
      <c r="C84" s="32" t="s">
        <v>9</v>
      </c>
      <c r="D84" s="31" t="s">
        <v>8</v>
      </c>
      <c r="E84" s="82"/>
      <c r="F84" s="34">
        <v>2</v>
      </c>
      <c r="G84" s="31" t="s">
        <v>7</v>
      </c>
      <c r="H84" s="31" t="s">
        <v>6</v>
      </c>
      <c r="I84" s="40">
        <v>0</v>
      </c>
      <c r="J84" s="36">
        <f t="shared" si="3"/>
        <v>-24</v>
      </c>
      <c r="K84" s="77"/>
      <c r="L84" s="79"/>
      <c r="M84" s="58">
        <f t="shared" si="4"/>
        <v>0</v>
      </c>
      <c r="N84" s="80"/>
    </row>
    <row r="85" spans="1:14" s="39" customFormat="1" ht="36" customHeight="1" thickBot="1" x14ac:dyDescent="0.35">
      <c r="A85" s="30">
        <v>82</v>
      </c>
      <c r="B85" s="50" t="s">
        <v>5</v>
      </c>
      <c r="C85" s="51"/>
      <c r="D85" s="50" t="s">
        <v>3</v>
      </c>
      <c r="E85" s="52" t="s">
        <v>4</v>
      </c>
      <c r="F85" s="53">
        <v>82</v>
      </c>
      <c r="G85" s="50" t="s">
        <v>319</v>
      </c>
      <c r="H85" s="50" t="s">
        <v>2</v>
      </c>
      <c r="I85" s="54"/>
      <c r="J85" s="36">
        <v>-100</v>
      </c>
      <c r="K85" s="55">
        <v>100</v>
      </c>
      <c r="L85" s="56">
        <v>330</v>
      </c>
      <c r="M85" s="58">
        <f t="shared" si="4"/>
        <v>33000</v>
      </c>
      <c r="N85" s="38" t="s">
        <v>286</v>
      </c>
    </row>
    <row r="86" spans="1:14" x14ac:dyDescent="0.3">
      <c r="M86" s="25">
        <f>SUM(M4:M85)</f>
        <v>7195842</v>
      </c>
    </row>
    <row r="87" spans="1:14" x14ac:dyDescent="0.3">
      <c r="D87" s="4" t="s">
        <v>1</v>
      </c>
      <c r="E87" t="s">
        <v>0</v>
      </c>
    </row>
  </sheetData>
  <autoFilter ref="A3:L85" xr:uid="{3E779ECE-2B51-4DB3-A8CF-1F289CA50385}">
    <sortState xmlns:xlrd2="http://schemas.microsoft.com/office/spreadsheetml/2017/richdata2" ref="A4:L85">
      <sortCondition ref="C3:C85"/>
    </sortState>
  </autoFilter>
  <mergeCells count="5">
    <mergeCell ref="H2:L2"/>
    <mergeCell ref="K83:K84"/>
    <mergeCell ref="L83:L84"/>
    <mergeCell ref="N83:N84"/>
    <mergeCell ref="E83:E84"/>
  </mergeCells>
  <phoneticPr fontId="2" type="noConversion"/>
  <conditionalFormatting sqref="J4:K83 J84 J85:K85">
    <cfRule type="cellIs" dxfId="0" priority="1" operator="lessThan">
      <formula>0</formula>
    </cfRule>
  </conditionalFormatting>
  <pageMargins left="0" right="0" top="0" bottom="0" header="0.31496062992125984" footer="0.31496062992125984"/>
  <pageSetup paperSize="9" scale="6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FuelCell - 발주</vt:lpstr>
      <vt:lpstr>'FuelCell - 발주'!Print_Titles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기철 서</dc:creator>
  <cp:lastModifiedBy>기철 서</cp:lastModifiedBy>
  <dcterms:created xsi:type="dcterms:W3CDTF">2026-08-10T05:08:13Z</dcterms:created>
  <dcterms:modified xsi:type="dcterms:W3CDTF">2026-08-13T01:03:55Z</dcterms:modified>
</cp:coreProperties>
</file>